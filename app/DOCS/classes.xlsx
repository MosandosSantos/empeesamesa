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san\Documents\Sistemas\EsferaMesa\app\DOCS\"/>
    </mc:Choice>
  </mc:AlternateContent>
  <bookViews>
    <workbookView xWindow="0" yWindow="0" windowWidth="23040" windowHeight="9072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1" i="1" l="1"/>
  <c r="E41" i="1"/>
  <c r="D44" i="1"/>
  <c r="E44" i="1"/>
  <c r="D45" i="1"/>
  <c r="E45" i="1"/>
  <c r="D46" i="1"/>
  <c r="E46" i="1"/>
  <c r="D50" i="1"/>
  <c r="E50" i="1"/>
  <c r="D53" i="1"/>
  <c r="E53" i="1"/>
  <c r="D54" i="1"/>
  <c r="E54" i="1"/>
</calcChain>
</file>

<file path=xl/sharedStrings.xml><?xml version="1.0" encoding="utf-8"?>
<sst xmlns="http://schemas.openxmlformats.org/spreadsheetml/2006/main" count="112" uniqueCount="59">
  <si>
    <t>Membro</t>
  </si>
  <si>
    <t>CLASSE</t>
  </si>
  <si>
    <t>MESA</t>
  </si>
  <si>
    <t>EN</t>
  </si>
  <si>
    <t>CBCS</t>
  </si>
  <si>
    <t>JOSÉ RICARDO MATOS RIBEIRO</t>
  </si>
  <si>
    <t>ANDRÉ SANTOS WANDERLEY</t>
  </si>
  <si>
    <t>JAILTON PANISSOLO</t>
  </si>
  <si>
    <t>JORGE GOUVEA MELLO</t>
  </si>
  <si>
    <t>CLAÚDIO BRAZ DE SOUSA</t>
  </si>
  <si>
    <t>RODRIGO RIBEIRO DE ARAÚJO</t>
  </si>
  <si>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JAIR GIOLO</t>
    </r>
  </si>
  <si>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IURY JUSTO DE BARROS</t>
    </r>
  </si>
  <si>
    <t>ELVANGER SANTOS CARDOSO</t>
  </si>
  <si>
    <r>
      <rPr>
        <sz val="7"/>
        <color theme="1"/>
        <rFont val="Times New Roman"/>
        <family val="1"/>
      </rPr>
      <t xml:space="preserve"> </t>
    </r>
    <r>
      <rPr>
        <sz val="12"/>
        <color rgb="FF000000"/>
        <rFont val="Times New Roman"/>
        <family val="1"/>
      </rPr>
      <t>RODRIGO ANTÔNIO SOUZA DE ANDRADE RODRIGUES</t>
    </r>
  </si>
  <si>
    <t>GREYCON DE CASTRO BARRETO PINHEIRO</t>
  </si>
  <si>
    <t>ANTÔNIO MAURO DA SILA</t>
  </si>
  <si>
    <t>LUCIANO GOMES DE SOUZA</t>
  </si>
  <si>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ENDLEEW CARDOSO BARBOSA DA SILVA</t>
    </r>
  </si>
  <si>
    <t>EUDES ANGELIS MENDES GUSMÃO</t>
  </si>
  <si>
    <r>
      <rPr>
        <sz val="7"/>
        <color theme="1"/>
        <rFont val="Times New Roman"/>
        <family val="1"/>
      </rPr>
      <t xml:space="preserve"> </t>
    </r>
    <r>
      <rPr>
        <sz val="12"/>
        <color rgb="FF000000"/>
        <rFont val="Times New Roman"/>
        <family val="1"/>
      </rPr>
      <t xml:space="preserve">FÁBIO DOS SANTOS  </t>
    </r>
  </si>
  <si>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MARCELLO CARNEIRO</t>
    </r>
  </si>
  <si>
    <t>MAURO CÉSAR XAVIER MADEIRA</t>
  </si>
  <si>
    <t>FERNANDO LUIZ JANUÁRIO DA SILVA</t>
  </si>
  <si>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CLAYTON SILVA CERQUEIRA</t>
    </r>
  </si>
  <si>
    <t>CARLOS RENATO D. DE ALMEIDA</t>
  </si>
  <si>
    <t>JOSÉ GERALDO DE ALMEIDA</t>
  </si>
  <si>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JOSÉ CARLOS MATHEUS SANTIAGO</t>
    </r>
  </si>
  <si>
    <t>GUARACY DA SILVA</t>
  </si>
  <si>
    <t>LUIZ OTÁVIO ABRANTE</t>
  </si>
  <si>
    <t>GUILERME BRAGA ABREU PIRES NETO</t>
  </si>
  <si>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LUIZ PAULO SOBRAL</t>
    </r>
  </si>
  <si>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MOSAN DIAS DOS SANTOS</t>
    </r>
  </si>
  <si>
    <t xml:space="preserve">ANTÔNIO DE ABREU MAURO FILHO </t>
  </si>
  <si>
    <t>ITALO LOUZADA LOPES</t>
  </si>
  <si>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JOSE VALDOMIRO DE OLIVEIRA</t>
    </r>
  </si>
  <si>
    <t>LUIZ OLINTO OLIVEIRA CASTRO FILHO</t>
  </si>
  <si>
    <t>PAULO ROBERTO OGAWA TEIXEIRA</t>
  </si>
  <si>
    <t>PAULO ROBERTO DA SILVA</t>
  </si>
  <si>
    <t>REGINALDO PEREIRA DA SILVA</t>
  </si>
  <si>
    <t xml:space="preserve">WELLINGTON RICARDO DE ALMEIDA ARCINDO </t>
  </si>
  <si>
    <t>LEANDO BONFIM PEDRO</t>
  </si>
  <si>
    <t>WELLINGTON ARCINDO</t>
  </si>
  <si>
    <t>ALEXANDRE ANTHONY BARRERA</t>
  </si>
  <si>
    <t>Armando Carlos Menezes Rocha</t>
  </si>
  <si>
    <t>CARLOS ALBERTO MARQUES RIBEIRO FILHO</t>
  </si>
  <si>
    <t>Eduardo Pereira Viana</t>
  </si>
  <si>
    <t>Felipe Eduardo Portela de Paulo</t>
  </si>
  <si>
    <t>Filipi Cunha da Silva</t>
  </si>
  <si>
    <t>Gabriel Nogueira Coutinho</t>
  </si>
  <si>
    <t>Guilherme Braga Abreu Pires Neto</t>
  </si>
  <si>
    <t>Gustavo Felipe Carvalho Lima</t>
  </si>
  <si>
    <t>Marcus Vinicius Pereira da Silva</t>
  </si>
  <si>
    <t>13/05/2023</t>
  </si>
  <si>
    <t>Pedro Renato Rodrigues de Freitas</t>
  </si>
  <si>
    <t>Rogério Bittencourt de Miranda</t>
  </si>
  <si>
    <t>Rubens Caldeira Monteiro</t>
  </si>
  <si>
    <t>Wilson Correa de Souza Neto</t>
  </si>
  <si>
    <t>Vinicius Rezende Marinho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</si>
</sst>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0"/>
      <name val="Calibri"/>
      <family val="2"/>
    </font>
    <font>
      <sz val="12"/>
      <color theme="1"/>
      <name val="Times New Roman"/>
      <family val="1"/>
    </font>
    <font>
      <b/>
      <sz val="10"/>
      <color theme="4"/>
      <name val="Calibri"/>
      <family val="2"/>
    </font>
    <font>
      <sz val="11"/>
      <color theme="1"/>
      <name val="Times New Roman"/>
      <family val="1"/>
    </font>
    <font>
      <b/>
      <sz val="10"/>
      <color theme="9" tint="-0.249977111117893"/>
      <name val="Calibri"/>
      <family val="2"/>
    </font>
    <font>
      <sz val="11"/>
      <color rgb="FF000000"/>
      <name val="Times New Roman"/>
      <family val="1"/>
    </font>
    <font>
      <b/>
      <sz val="10"/>
      <color rgb="FFFF0000"/>
      <name val="Calibri"/>
      <family val="2"/>
    </font>
    <font>
      <sz val="7"/>
      <color theme="1"/>
      <name val="Times New Roman"/>
      <family val="1"/>
    </font>
    <font>
      <sz val="12"/>
      <color rgb="FF000000"/>
      <name val="Times New Roman"/>
      <family val="1"/>
    </font>
    <font>
      <sz val="10"/>
      <name val="Calibri"/>
      <family val="2"/>
    </font>
    <font>
      <sz val="10"/>
      <color theme="1"/>
      <name val="Calibri"/>
      <family val="2"/>
      <scheme val="minor"/>
    </font>
    <font>
      <b/>
      <sz val="10"/>
      <color rgb="FF0070C0"/>
      <name val="Calibri"/>
      <family val="2"/>
    </font>
    <font>
      <sz val="10"/>
      <color theme="9" tint="-0.249977111117893"/>
      <name val="Calibri"/>
      <family val="2"/>
    </font>
    <font>
      <sz val="11"/>
      <color theme="1"/>
      <name val="Liberation Sans"/>
    </font>
    <font>
      <b/>
      <sz val="10"/>
      <name val="Calibri"/>
      <family val="2"/>
    </font>
    <font>
      <sz val="10"/>
      <color theme="4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4" fontId="3" fillId="2" borderId="2" xfId="1" applyNumberFormat="1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top" wrapText="1"/>
    </xf>
    <xf numFmtId="0" fontId="6" fillId="0" borderId="0" xfId="0" applyFont="1" applyAlignment="1">
      <alignment horizontal="justify" vertical="center"/>
    </xf>
    <xf numFmtId="0" fontId="7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center"/>
    </xf>
    <xf numFmtId="0" fontId="8" fillId="0" borderId="0" xfId="0" applyFont="1" applyAlignment="1">
      <alignment horizontal="justify" vertical="center"/>
    </xf>
    <xf numFmtId="0" fontId="9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justify" vertical="center"/>
    </xf>
    <xf numFmtId="0" fontId="4" fillId="0" borderId="0" xfId="0" applyFont="1" applyAlignment="1">
      <alignment vertical="center"/>
    </xf>
    <xf numFmtId="0" fontId="2" fillId="0" borderId="3" xfId="1" applyFont="1" applyBorder="1" applyAlignment="1">
      <alignment horizontal="left" vertical="center"/>
    </xf>
    <xf numFmtId="0" fontId="2" fillId="0" borderId="3" xfId="1" applyFont="1" applyBorder="1" applyAlignment="1">
      <alignment horizontal="center" vertical="center"/>
    </xf>
    <xf numFmtId="14" fontId="3" fillId="2" borderId="3" xfId="1" applyNumberFormat="1" applyFont="1" applyFill="1" applyBorder="1" applyAlignment="1">
      <alignment horizontal="center" vertical="center"/>
    </xf>
    <xf numFmtId="14" fontId="12" fillId="3" borderId="3" xfId="1" applyNumberFormat="1" applyFont="1" applyFill="1" applyBorder="1" applyAlignment="1">
      <alignment horizontal="center" vertical="center"/>
    </xf>
    <xf numFmtId="14" fontId="12" fillId="4" borderId="3" xfId="1" applyNumberFormat="1" applyFont="1" applyFill="1" applyBorder="1" applyAlignment="1">
      <alignment horizontal="center" vertical="center"/>
    </xf>
    <xf numFmtId="49" fontId="2" fillId="0" borderId="3" xfId="1" applyNumberFormat="1" applyFont="1" applyBorder="1" applyAlignment="1">
      <alignment horizontal="left" vertical="center"/>
    </xf>
    <xf numFmtId="49" fontId="5" fillId="0" borderId="3" xfId="1" applyNumberFormat="1" applyFont="1" applyBorder="1" applyAlignment="1">
      <alignment horizontal="center" vertical="center"/>
    </xf>
    <xf numFmtId="14" fontId="13" fillId="0" borderId="3" xfId="0" applyNumberFormat="1" applyFont="1" applyBorder="1" applyAlignment="1">
      <alignment horizontal="center"/>
    </xf>
    <xf numFmtId="0" fontId="7" fillId="0" borderId="3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14" fontId="14" fillId="5" borderId="3" xfId="0" applyNumberFormat="1" applyFont="1" applyFill="1" applyBorder="1" applyAlignment="1">
      <alignment horizontal="center" vertical="center"/>
    </xf>
    <xf numFmtId="14" fontId="14" fillId="5" borderId="3" xfId="1" applyNumberFormat="1" applyFont="1" applyFill="1" applyBorder="1" applyAlignment="1">
      <alignment horizontal="center" vertical="center"/>
    </xf>
    <xf numFmtId="0" fontId="15" fillId="0" borderId="3" xfId="1" applyFont="1" applyBorder="1" applyAlignment="1">
      <alignment horizontal="center" vertical="center"/>
    </xf>
    <xf numFmtId="0" fontId="16" fillId="0" borderId="3" xfId="0" applyFont="1" applyBorder="1" applyAlignment="1">
      <alignment horizontal="center"/>
    </xf>
    <xf numFmtId="0" fontId="7" fillId="0" borderId="3" xfId="2" applyFont="1" applyBorder="1" applyAlignment="1">
      <alignment horizontal="center" vertical="center"/>
    </xf>
    <xf numFmtId="49" fontId="17" fillId="0" borderId="3" xfId="2" applyNumberFormat="1" applyFont="1" applyBorder="1" applyAlignment="1">
      <alignment horizontal="center" vertical="center"/>
    </xf>
    <xf numFmtId="0" fontId="18" fillId="0" borderId="3" xfId="1" applyFont="1" applyBorder="1" applyAlignment="1">
      <alignment horizontal="center" vertical="center"/>
    </xf>
  </cellXfs>
  <cellStyles count="3">
    <cellStyle name="Normal" xfId="0" builtinId="0"/>
    <cellStyle name="Normal 2" xfId="1"/>
    <cellStyle name="Normal 2 2" xfId="2"/>
  </cellStyles>
  <dxfs count="2">
    <dxf>
      <font>
        <color theme="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4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"/>
  <sheetViews>
    <sheetView tabSelected="1" workbookViewId="0">
      <selection activeCell="G10" sqref="G10"/>
    </sheetView>
  </sheetViews>
  <sheetFormatPr defaultRowHeight="14.4"/>
  <cols>
    <col min="1" max="1" width="25.33203125" customWidth="1"/>
    <col min="3" max="3" width="18.88671875" customWidth="1"/>
    <col min="4" max="4" width="16.6640625" customWidth="1"/>
    <col min="5" max="5" width="27.33203125" customWidth="1"/>
  </cols>
  <sheetData>
    <row r="1" spans="1: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spans="1:5" ht="31.2">
      <c r="A2" s="4" t="s">
        <v>5</v>
      </c>
      <c r="B2" s="5" t="s">
        <v>4</v>
      </c>
      <c r="C2" s="3">
        <v>42873</v>
      </c>
      <c r="D2" s="3">
        <v>45116</v>
      </c>
      <c r="E2" s="3">
        <v>45548</v>
      </c>
    </row>
    <row r="3" spans="1:5" ht="31.2">
      <c r="A3" s="6" t="s">
        <v>6</v>
      </c>
      <c r="B3" s="5" t="s">
        <v>4</v>
      </c>
      <c r="C3" s="3"/>
      <c r="D3" s="3">
        <v>45116</v>
      </c>
      <c r="E3" s="3">
        <v>45116</v>
      </c>
    </row>
    <row r="4" spans="1:5">
      <c r="A4" s="7" t="s">
        <v>7</v>
      </c>
      <c r="B4" s="8" t="s">
        <v>2</v>
      </c>
      <c r="C4" s="3">
        <v>45591</v>
      </c>
      <c r="D4" s="3"/>
      <c r="E4" s="3"/>
    </row>
    <row r="5" spans="1:5" ht="15.6">
      <c r="A5" s="9" t="s">
        <v>8</v>
      </c>
      <c r="B5" s="5" t="s">
        <v>4</v>
      </c>
      <c r="C5" s="3"/>
      <c r="D5" s="3">
        <v>45116</v>
      </c>
      <c r="E5" s="3">
        <v>45116</v>
      </c>
    </row>
    <row r="6" spans="1:5" ht="27.6">
      <c r="A6" s="10" t="s">
        <v>9</v>
      </c>
      <c r="B6" s="11" t="s">
        <v>3</v>
      </c>
      <c r="C6" s="3">
        <v>42873</v>
      </c>
      <c r="D6" s="3">
        <v>45257</v>
      </c>
      <c r="E6" s="3"/>
    </row>
    <row r="7" spans="1:5" ht="31.2">
      <c r="A7" s="9" t="s">
        <v>10</v>
      </c>
      <c r="B7" s="8" t="s">
        <v>2</v>
      </c>
      <c r="C7" s="3">
        <v>45563</v>
      </c>
      <c r="D7" s="3"/>
      <c r="E7" s="3"/>
    </row>
    <row r="8" spans="1:5" ht="15.6">
      <c r="A8" s="9" t="s">
        <v>11</v>
      </c>
      <c r="B8" s="8" t="s">
        <v>2</v>
      </c>
      <c r="C8" s="3">
        <v>45871</v>
      </c>
      <c r="D8" s="3"/>
      <c r="E8" s="3"/>
    </row>
    <row r="9" spans="1:5" ht="31.2">
      <c r="A9" s="9" t="s">
        <v>12</v>
      </c>
      <c r="B9" s="8" t="s">
        <v>2</v>
      </c>
      <c r="C9" s="3">
        <v>45871</v>
      </c>
      <c r="D9" s="3"/>
      <c r="E9" s="3"/>
    </row>
    <row r="10" spans="1:5" ht="31.2">
      <c r="A10" s="12" t="s">
        <v>13</v>
      </c>
      <c r="B10" s="11" t="s">
        <v>3</v>
      </c>
      <c r="C10" s="3">
        <v>45563</v>
      </c>
      <c r="D10" s="3">
        <v>45892</v>
      </c>
      <c r="E10" s="3"/>
    </row>
    <row r="11" spans="1:5" ht="46.8">
      <c r="A11" s="9" t="s">
        <v>14</v>
      </c>
      <c r="B11" s="11" t="s">
        <v>3</v>
      </c>
      <c r="C11" s="3">
        <v>45563</v>
      </c>
      <c r="D11" s="3">
        <v>45892</v>
      </c>
      <c r="E11" s="3"/>
    </row>
    <row r="12" spans="1:5" ht="31.2">
      <c r="A12" s="9" t="s">
        <v>15</v>
      </c>
      <c r="B12" s="8" t="s">
        <v>2</v>
      </c>
      <c r="C12" s="3">
        <v>45591</v>
      </c>
      <c r="D12" s="3"/>
      <c r="E12" s="3"/>
    </row>
    <row r="13" spans="1:5" ht="31.2">
      <c r="A13" s="9" t="s">
        <v>16</v>
      </c>
      <c r="B13" s="8" t="s">
        <v>2</v>
      </c>
      <c r="C13" s="3">
        <v>45591</v>
      </c>
      <c r="D13" s="3"/>
      <c r="E13" s="3"/>
    </row>
    <row r="14" spans="1:5" ht="31.2">
      <c r="A14" s="9" t="s">
        <v>17</v>
      </c>
      <c r="B14" s="8" t="s">
        <v>2</v>
      </c>
      <c r="C14" s="3">
        <v>45591</v>
      </c>
      <c r="D14" s="3"/>
      <c r="E14" s="3"/>
    </row>
    <row r="15" spans="1:5" ht="31.2">
      <c r="A15" s="9" t="s">
        <v>18</v>
      </c>
      <c r="B15" s="8" t="s">
        <v>2</v>
      </c>
      <c r="C15" s="3">
        <v>45591</v>
      </c>
      <c r="D15" s="3"/>
      <c r="E15" s="3"/>
    </row>
    <row r="16" spans="1:5" ht="31.2">
      <c r="A16" s="9" t="s">
        <v>19</v>
      </c>
      <c r="B16" s="8" t="s">
        <v>2</v>
      </c>
      <c r="C16" s="3">
        <v>45591</v>
      </c>
      <c r="D16" s="3"/>
      <c r="E16" s="3"/>
    </row>
    <row r="17" spans="1:5" ht="15.6">
      <c r="A17" s="9" t="s">
        <v>20</v>
      </c>
      <c r="B17" s="8" t="s">
        <v>2</v>
      </c>
      <c r="C17" s="3">
        <v>45558</v>
      </c>
      <c r="D17" s="3"/>
      <c r="E17" s="3"/>
    </row>
    <row r="18" spans="1:5" ht="15.6">
      <c r="A18" s="9" t="s">
        <v>21</v>
      </c>
      <c r="B18" s="8" t="s">
        <v>2</v>
      </c>
      <c r="C18" s="3">
        <v>45591</v>
      </c>
      <c r="D18" s="3"/>
      <c r="E18" s="3"/>
    </row>
    <row r="19" spans="1:5" ht="31.2">
      <c r="A19" s="12" t="s">
        <v>22</v>
      </c>
      <c r="B19" s="8" t="s">
        <v>2</v>
      </c>
      <c r="C19" s="3"/>
      <c r="D19" s="3"/>
      <c r="E19" s="3"/>
    </row>
    <row r="20" spans="1:5" ht="31.2">
      <c r="A20" s="12" t="s">
        <v>23</v>
      </c>
      <c r="B20" s="8" t="s">
        <v>2</v>
      </c>
      <c r="C20" s="3">
        <v>45591</v>
      </c>
      <c r="D20" s="3"/>
      <c r="E20" s="3"/>
    </row>
    <row r="21" spans="1:5" ht="31.2">
      <c r="A21" s="9" t="s">
        <v>24</v>
      </c>
      <c r="B21" s="8" t="s">
        <v>2</v>
      </c>
      <c r="C21" s="3"/>
      <c r="D21" s="3"/>
      <c r="E21" s="3"/>
    </row>
    <row r="22" spans="1:5" ht="31.2">
      <c r="A22" s="9" t="s">
        <v>25</v>
      </c>
      <c r="B22" s="8" t="s">
        <v>2</v>
      </c>
      <c r="C22" s="3"/>
      <c r="D22" s="3"/>
      <c r="E22" s="3"/>
    </row>
    <row r="23" spans="1:5" ht="31.2">
      <c r="A23" s="9" t="s">
        <v>26</v>
      </c>
      <c r="B23" s="8" t="s">
        <v>2</v>
      </c>
      <c r="C23" s="3">
        <v>45591</v>
      </c>
      <c r="D23" s="3"/>
      <c r="E23" s="3"/>
    </row>
    <row r="24" spans="1:5" ht="31.2">
      <c r="A24" s="9" t="s">
        <v>27</v>
      </c>
      <c r="B24" s="8" t="s">
        <v>2</v>
      </c>
      <c r="C24" s="3">
        <v>45591</v>
      </c>
      <c r="D24" s="3"/>
      <c r="E24" s="3"/>
    </row>
    <row r="25" spans="1:5" ht="15.6">
      <c r="A25" s="9" t="s">
        <v>28</v>
      </c>
      <c r="B25" s="8" t="s">
        <v>2</v>
      </c>
      <c r="C25" s="3">
        <v>45563</v>
      </c>
      <c r="D25" s="3"/>
      <c r="E25" s="3"/>
    </row>
    <row r="26" spans="1:5" ht="15.6">
      <c r="A26" s="9" t="s">
        <v>29</v>
      </c>
      <c r="B26" s="8" t="s">
        <v>2</v>
      </c>
      <c r="C26" s="3">
        <v>45563</v>
      </c>
      <c r="D26" s="3"/>
      <c r="E26" s="3"/>
    </row>
    <row r="27" spans="1:5" ht="31.2">
      <c r="A27" s="9" t="s">
        <v>30</v>
      </c>
      <c r="B27" s="8" t="s">
        <v>2</v>
      </c>
      <c r="C27" s="3">
        <v>41116</v>
      </c>
      <c r="D27" s="3"/>
      <c r="E27" s="3"/>
    </row>
    <row r="28" spans="1:5" ht="15.6">
      <c r="A28" s="9" t="s">
        <v>31</v>
      </c>
      <c r="B28" s="8" t="s">
        <v>2</v>
      </c>
      <c r="C28" s="3"/>
      <c r="D28" s="3"/>
      <c r="E28" s="3"/>
    </row>
    <row r="29" spans="1:5" ht="31.2">
      <c r="A29" s="9" t="s">
        <v>32</v>
      </c>
      <c r="B29" s="8" t="s">
        <v>2</v>
      </c>
      <c r="C29" s="3">
        <v>45563</v>
      </c>
      <c r="D29" s="3"/>
      <c r="E29" s="3"/>
    </row>
    <row r="30" spans="1:5" ht="31.2">
      <c r="A30" s="9" t="s">
        <v>33</v>
      </c>
      <c r="B30" s="8" t="s">
        <v>2</v>
      </c>
      <c r="C30" s="3">
        <v>45563</v>
      </c>
      <c r="D30" s="3"/>
      <c r="E30" s="3"/>
    </row>
    <row r="31" spans="1:5" ht="31.2">
      <c r="A31" s="9" t="s">
        <v>34</v>
      </c>
      <c r="B31" s="8" t="s">
        <v>2</v>
      </c>
      <c r="C31" s="3">
        <v>45563</v>
      </c>
      <c r="D31" s="3"/>
      <c r="E31" s="3"/>
    </row>
    <row r="32" spans="1:5" ht="31.2">
      <c r="A32" s="9" t="s">
        <v>35</v>
      </c>
      <c r="B32" s="8" t="s">
        <v>2</v>
      </c>
      <c r="C32" s="3">
        <v>45563</v>
      </c>
      <c r="D32" s="3"/>
      <c r="E32" s="3"/>
    </row>
    <row r="33" spans="1:5" ht="31.2">
      <c r="A33" s="9" t="s">
        <v>36</v>
      </c>
      <c r="B33" s="8" t="s">
        <v>2</v>
      </c>
      <c r="C33" s="3">
        <v>42873</v>
      </c>
      <c r="D33" s="3"/>
      <c r="E33" s="3"/>
    </row>
    <row r="34" spans="1:5" ht="31.2">
      <c r="A34" s="9" t="s">
        <v>37</v>
      </c>
      <c r="B34" s="8" t="s">
        <v>2</v>
      </c>
      <c r="C34" s="3">
        <v>45563</v>
      </c>
      <c r="D34" s="3"/>
      <c r="E34" s="3"/>
    </row>
    <row r="35" spans="1:5" ht="31.2">
      <c r="A35" s="9" t="s">
        <v>38</v>
      </c>
      <c r="B35" s="8" t="s">
        <v>2</v>
      </c>
      <c r="C35" s="3"/>
      <c r="D35" s="3"/>
      <c r="E35" s="3"/>
    </row>
    <row r="36" spans="1:5" ht="31.2">
      <c r="A36" s="9" t="s">
        <v>39</v>
      </c>
      <c r="B36" s="8" t="s">
        <v>2</v>
      </c>
      <c r="C36" s="3"/>
      <c r="D36" s="3"/>
      <c r="E36" s="3"/>
    </row>
    <row r="37" spans="1:5" ht="46.8">
      <c r="A37" s="9" t="s">
        <v>40</v>
      </c>
      <c r="B37" s="8" t="s">
        <v>2</v>
      </c>
      <c r="C37" s="3">
        <v>45591</v>
      </c>
      <c r="D37" s="3"/>
      <c r="E37" s="3"/>
    </row>
    <row r="38" spans="1:5" ht="31.2">
      <c r="A38" s="9" t="s">
        <v>41</v>
      </c>
      <c r="B38" s="8" t="s">
        <v>2</v>
      </c>
      <c r="C38" s="3">
        <v>45591</v>
      </c>
      <c r="D38" s="3"/>
      <c r="E38" s="3"/>
    </row>
    <row r="39" spans="1:5" ht="31.2">
      <c r="A39" s="9" t="s">
        <v>42</v>
      </c>
      <c r="B39" s="8" t="s">
        <v>2</v>
      </c>
      <c r="C39" s="3">
        <v>45591</v>
      </c>
      <c r="D39" s="3"/>
      <c r="E39" s="3"/>
    </row>
    <row r="40" spans="1:5" ht="15.6">
      <c r="A40" s="13" t="s">
        <v>43</v>
      </c>
      <c r="B40" s="8" t="s">
        <v>2</v>
      </c>
      <c r="C40" s="3">
        <v>45563</v>
      </c>
      <c r="D40" s="3"/>
      <c r="E40" s="3"/>
    </row>
    <row r="41" spans="1:5">
      <c r="A41" s="14" t="s">
        <v>44</v>
      </c>
      <c r="B41" s="15" t="s">
        <v>2</v>
      </c>
      <c r="C41" s="16">
        <v>43722</v>
      </c>
      <c r="D41" s="17">
        <f ca="1">TODAY()</f>
        <v>46016</v>
      </c>
      <c r="E41" s="18">
        <f ca="1">TODAY()</f>
        <v>46016</v>
      </c>
    </row>
    <row r="42" spans="1:5">
      <c r="A42" s="19" t="s">
        <v>45</v>
      </c>
      <c r="B42" s="20" t="s">
        <v>4</v>
      </c>
      <c r="C42" s="21">
        <v>41923</v>
      </c>
      <c r="D42" s="21">
        <v>41923</v>
      </c>
      <c r="E42" s="21">
        <v>41924</v>
      </c>
    </row>
    <row r="43" spans="1:5">
      <c r="A43" s="19" t="s">
        <v>46</v>
      </c>
      <c r="B43" s="22" t="s">
        <v>2</v>
      </c>
      <c r="C43" s="21">
        <v>43666</v>
      </c>
      <c r="D43" s="21"/>
      <c r="E43" s="21"/>
    </row>
    <row r="44" spans="1:5">
      <c r="A44" s="14" t="s">
        <v>47</v>
      </c>
      <c r="B44" s="23" t="s">
        <v>4</v>
      </c>
      <c r="C44" s="24">
        <v>41118</v>
      </c>
      <c r="D44" s="25">
        <f>EDATE(C44,18)</f>
        <v>41667</v>
      </c>
      <c r="E44" s="25">
        <f>EDATE(D44,12)</f>
        <v>42032</v>
      </c>
    </row>
    <row r="45" spans="1:5">
      <c r="A45" s="19" t="s">
        <v>48</v>
      </c>
      <c r="B45" s="22" t="s">
        <v>2</v>
      </c>
      <c r="C45" s="16">
        <v>44492</v>
      </c>
      <c r="D45" s="16">
        <f>C45+(31*18)</f>
        <v>45050</v>
      </c>
      <c r="E45" s="16">
        <f>D45+366</f>
        <v>45416</v>
      </c>
    </row>
    <row r="46" spans="1:5">
      <c r="A46" s="19" t="s">
        <v>49</v>
      </c>
      <c r="B46" s="26" t="s">
        <v>2</v>
      </c>
      <c r="C46" s="16">
        <v>44953</v>
      </c>
      <c r="D46" s="16">
        <f>C46+(31*18)</f>
        <v>45511</v>
      </c>
      <c r="E46" s="16">
        <f>D46+366</f>
        <v>45877</v>
      </c>
    </row>
    <row r="47" spans="1:5">
      <c r="A47" s="19" t="s">
        <v>50</v>
      </c>
      <c r="B47" s="22" t="s">
        <v>2</v>
      </c>
      <c r="C47" s="21">
        <v>41116</v>
      </c>
      <c r="D47" s="27"/>
      <c r="E47" s="27"/>
    </row>
    <row r="48" spans="1:5">
      <c r="A48" s="14" t="s">
        <v>51</v>
      </c>
      <c r="B48" s="23" t="s">
        <v>4</v>
      </c>
      <c r="C48" s="25">
        <v>43331</v>
      </c>
      <c r="D48" s="25">
        <v>43919</v>
      </c>
      <c r="E48" s="25">
        <v>44799</v>
      </c>
    </row>
    <row r="49" spans="1:5">
      <c r="A49" s="19" t="s">
        <v>52</v>
      </c>
      <c r="B49" s="28" t="s">
        <v>2</v>
      </c>
      <c r="C49" s="29" t="s">
        <v>53</v>
      </c>
      <c r="D49" s="27"/>
      <c r="E49" s="27"/>
    </row>
    <row r="50" spans="1:5">
      <c r="A50" s="19" t="s">
        <v>54</v>
      </c>
      <c r="B50" s="22" t="s">
        <v>2</v>
      </c>
      <c r="C50" s="16">
        <v>44492</v>
      </c>
      <c r="D50" s="16">
        <f>C50+(31*18)</f>
        <v>45050</v>
      </c>
      <c r="E50" s="16">
        <f>D50+366</f>
        <v>45416</v>
      </c>
    </row>
    <row r="51" spans="1:5">
      <c r="A51" s="14" t="s">
        <v>55</v>
      </c>
      <c r="B51" s="30" t="s">
        <v>4</v>
      </c>
      <c r="C51" s="25">
        <v>42936</v>
      </c>
      <c r="D51" s="25">
        <v>43798</v>
      </c>
      <c r="E51" s="25">
        <v>44799</v>
      </c>
    </row>
    <row r="52" spans="1:5">
      <c r="A52" s="14" t="s">
        <v>56</v>
      </c>
      <c r="B52" s="23" t="s">
        <v>4</v>
      </c>
      <c r="C52" s="25">
        <v>43331</v>
      </c>
      <c r="D52" s="25">
        <v>43919</v>
      </c>
      <c r="E52" s="25">
        <v>44799</v>
      </c>
    </row>
    <row r="53" spans="1:5">
      <c r="A53" s="14" t="s">
        <v>57</v>
      </c>
      <c r="B53" s="23" t="s">
        <v>4</v>
      </c>
      <c r="C53" s="25">
        <v>42133</v>
      </c>
      <c r="D53" s="25">
        <f>EDATE(C53,18)</f>
        <v>42683</v>
      </c>
      <c r="E53" s="25">
        <f>EDATE(D53,12)</f>
        <v>43048</v>
      </c>
    </row>
    <row r="54" spans="1:5">
      <c r="A54" s="14" t="s">
        <v>58</v>
      </c>
      <c r="B54" s="22" t="s">
        <v>2</v>
      </c>
      <c r="C54" s="16"/>
      <c r="D54" s="18">
        <f t="shared" ref="D54:E54" ca="1" si="0">TODAY()</f>
        <v>46016</v>
      </c>
      <c r="E54" s="18">
        <f t="shared" ca="1" si="0"/>
        <v>46016</v>
      </c>
    </row>
  </sheetData>
  <conditionalFormatting sqref="D49">
    <cfRule type="cellIs" dxfId="1" priority="2" operator="greaterThan">
      <formula>C49+558</formula>
    </cfRule>
  </conditionalFormatting>
  <conditionalFormatting sqref="D54">
    <cfRule type="cellIs" dxfId="0" priority="1" operator="greaterThan">
      <formula>C54+558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Mosan Santos</dc:creator>
  <cp:lastModifiedBy>Mosan Santos</cp:lastModifiedBy>
  <dcterms:created xsi:type="dcterms:W3CDTF">2025-12-18T14:35:28Z</dcterms:created>
  <dcterms:modified xsi:type="dcterms:W3CDTF">2025-12-25T22:54:37Z</dcterms:modified>
</cp:coreProperties>
</file>