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san\Documents\Sistemas\EsferaMesa\app\DOCS\"/>
    </mc:Choice>
  </mc:AlternateContent>
  <bookViews>
    <workbookView xWindow="0" yWindow="0" windowWidth="23040" windowHeight="9072"/>
  </bookViews>
  <sheets>
    <sheet name="Lista Geral" sheetId="4" r:id="rId1"/>
    <sheet name="Recepção MESA" sheetId="7" r:id="rId2"/>
    <sheet name="Mudança de Grau - EN" sheetId="5" r:id="rId3"/>
    <sheet name="Mudança de Grau - CBCS" sheetId="6" r:id="rId4"/>
  </sheets>
  <definedNames>
    <definedName name="_xlnm._FilterDatabase" localSheetId="0" hidden="1">'Lista Geral'!$B$3:$H$49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4" l="1"/>
  <c r="G56" i="4"/>
  <c r="C15" i="5"/>
  <c r="C17" i="5"/>
  <c r="G48" i="4"/>
  <c r="H48" i="4" s="1"/>
  <c r="C14" i="5"/>
  <c r="C13" i="5"/>
  <c r="C16" i="5"/>
  <c r="G52" i="4"/>
  <c r="H52" i="4" s="1"/>
  <c r="G47" i="4"/>
  <c r="H47" i="4" s="1"/>
  <c r="Q2" i="4"/>
  <c r="P2" i="4"/>
  <c r="H43" i="4"/>
  <c r="G43" i="4"/>
  <c r="G55" i="4"/>
  <c r="H55" i="4" s="1"/>
  <c r="G62" i="4"/>
  <c r="H62" i="4" s="1"/>
  <c r="G63" i="4"/>
  <c r="H63" i="4" s="1"/>
  <c r="G46" i="4"/>
  <c r="H46" i="4" s="1"/>
</calcChain>
</file>

<file path=xl/sharedStrings.xml><?xml version="1.0" encoding="utf-8"?>
<sst xmlns="http://schemas.openxmlformats.org/spreadsheetml/2006/main" count="413" uniqueCount="242">
  <si>
    <t>endereço completo</t>
  </si>
  <si>
    <t>cidade</t>
  </si>
  <si>
    <t>cep</t>
  </si>
  <si>
    <t>CPF</t>
  </si>
  <si>
    <t>telefone celular</t>
  </si>
  <si>
    <t>email</t>
  </si>
  <si>
    <t>Wilson Correa de Souza Neto</t>
  </si>
  <si>
    <t>Fabiano Ferreira Brito</t>
  </si>
  <si>
    <t>Roberto Barboza da Fonseca</t>
  </si>
  <si>
    <t>Alexander Mazolli Lisboa</t>
  </si>
  <si>
    <t>CBCS</t>
  </si>
  <si>
    <t>MESA</t>
  </si>
  <si>
    <t>Av. Oswaldo Cruz, 108 - Apto. 901</t>
  </si>
  <si>
    <t>Rua das Amendoeiras, 270 - Bloco VII - Apto. 301</t>
  </si>
  <si>
    <t>Rua Real Grandeza 188 Casa 23 / 301</t>
  </si>
  <si>
    <t>Rua Itaunas, 101 Bloco 34 Ap 104</t>
  </si>
  <si>
    <t>Rio de Janeiro</t>
  </si>
  <si>
    <t>22250-060</t>
  </si>
  <si>
    <t>23056-620</t>
  </si>
  <si>
    <t>22281-034</t>
  </si>
  <si>
    <t>23068-155</t>
  </si>
  <si>
    <t>wsouzanet@gmail.com</t>
  </si>
  <si>
    <t>fabianobrito01@gmail.com</t>
  </si>
  <si>
    <t>(21) 99996-0952</t>
  </si>
  <si>
    <t>Impeesa</t>
  </si>
  <si>
    <t>Tales de Azevedo e Vasconcellos</t>
  </si>
  <si>
    <t>José Ricardo Salgueiro de Castro</t>
  </si>
  <si>
    <t>Prefeitura de São Sebastião do Rio de Janeiro</t>
  </si>
  <si>
    <t>20031-040</t>
  </si>
  <si>
    <t>talesrj@gmail.com</t>
  </si>
  <si>
    <t>(21) 96477-5540</t>
  </si>
  <si>
    <t>(21) 99998-9720</t>
  </si>
  <si>
    <t>256.727.387-53</t>
  </si>
  <si>
    <t>025.634.747-60</t>
  </si>
  <si>
    <t>033.872.157-62</t>
  </si>
  <si>
    <t>099.189.847-83</t>
  </si>
  <si>
    <t>Rua santo Afonso,  84 apto 401</t>
  </si>
  <si>
    <t>078.159.677-79</t>
  </si>
  <si>
    <t>Rua Evaristo da Veiga 35 SL 418, Centro</t>
  </si>
  <si>
    <t>Rogério Bittencourt de Miranda</t>
  </si>
  <si>
    <t>025.849.107-80</t>
  </si>
  <si>
    <t>rogbitt@gmail.com</t>
  </si>
  <si>
    <t>(21) 98650-2241</t>
  </si>
  <si>
    <t>felipe@depaulo.com.br</t>
  </si>
  <si>
    <t xml:space="preserve"> 20031-925</t>
  </si>
  <si>
    <t>053.873.327-60</t>
  </si>
  <si>
    <t>EN</t>
  </si>
  <si>
    <t>-</t>
  </si>
  <si>
    <t>Sabóia Lima 35 apt 204</t>
  </si>
  <si>
    <t>20521-250</t>
  </si>
  <si>
    <t>196.938.598-71</t>
  </si>
  <si>
    <t>(21)98053-2224</t>
  </si>
  <si>
    <t>aprendiz.pitagorico@yahoo.com.br</t>
  </si>
  <si>
    <t>Gustavo Felipe Carvalho Lima</t>
  </si>
  <si>
    <t>Fernão Cardim 161</t>
  </si>
  <si>
    <t>20771-020</t>
  </si>
  <si>
    <t>072.885.237-30</t>
  </si>
  <si>
    <t>Rubens Caldeira Monteiro</t>
  </si>
  <si>
    <t>rbfonseca@msn.com</t>
  </si>
  <si>
    <t>Armando Carlos Menezes Rocha</t>
  </si>
  <si>
    <t>Av das Americas 20007 Bl2 304</t>
  </si>
  <si>
    <t>037.351.027-60</t>
  </si>
  <si>
    <t>armando@crtechn.com.br</t>
  </si>
  <si>
    <t>22790-851</t>
  </si>
  <si>
    <t>Prefeitura São Sebastiao do Rio de Janeiro</t>
  </si>
  <si>
    <t>Loja</t>
  </si>
  <si>
    <t>Cargo</t>
  </si>
  <si>
    <t>Membro</t>
  </si>
  <si>
    <t>Estado</t>
  </si>
  <si>
    <t>RJ</t>
  </si>
  <si>
    <t>mazolli@gmail.com</t>
  </si>
  <si>
    <t xml:space="preserve">Alexandre Prado de Freitas Ribeiro </t>
  </si>
  <si>
    <t>gustavobode33@gmail.com</t>
  </si>
  <si>
    <t>CLASSE</t>
  </si>
  <si>
    <t>Rua Ator Paulo Gustavo 434</t>
  </si>
  <si>
    <t>Niteroi</t>
  </si>
  <si>
    <t>filipics@gmail.com</t>
  </si>
  <si>
    <t>Filipi Cunha da Silva</t>
  </si>
  <si>
    <t>Pedro Renato Rodrigues de Freitas</t>
  </si>
  <si>
    <t>pedrorenato.rodriguesdefreitas@gmail.com</t>
  </si>
  <si>
    <t>057.672.427-04</t>
  </si>
  <si>
    <t>143.169.697-81</t>
  </si>
  <si>
    <t>24230-065</t>
  </si>
  <si>
    <t>(21) 99613-1311</t>
  </si>
  <si>
    <t>(21) 98364-5296</t>
  </si>
  <si>
    <t>Impessa</t>
  </si>
  <si>
    <t>MESA/EM</t>
  </si>
  <si>
    <t>EM/CBCS</t>
  </si>
  <si>
    <t xml:space="preserve">Pedro Souza Monteiro </t>
  </si>
  <si>
    <t>Gabriel Nogueira Coutinho</t>
  </si>
  <si>
    <t>167.055.207-10</t>
  </si>
  <si>
    <t>Rua Teresópolis 648</t>
  </si>
  <si>
    <t>Rio das Ostras</t>
  </si>
  <si>
    <t>28896-022</t>
  </si>
  <si>
    <t>gabrriel.coutinho@gmail.com</t>
  </si>
  <si>
    <t>Guilherme Braga Abreu Pires Neto</t>
  </si>
  <si>
    <t>Marcus Vinicius Pereira da Silva</t>
  </si>
  <si>
    <t>112.224.297-21</t>
  </si>
  <si>
    <t>Rua Leopoldina 91, Apt 403</t>
  </si>
  <si>
    <t>20756-110</t>
  </si>
  <si>
    <t>(21)96614-0500</t>
  </si>
  <si>
    <t>adm.mavs@gmail.com</t>
  </si>
  <si>
    <t>Gilberto Pereira Maximo</t>
  </si>
  <si>
    <t>832.134.147-00</t>
  </si>
  <si>
    <t>Rua Sebastião José de Oliveira 45</t>
  </si>
  <si>
    <t>23036-382</t>
  </si>
  <si>
    <t>(21)97046-1117</t>
  </si>
  <si>
    <t>gpmaximo@gmail.com</t>
  </si>
  <si>
    <t>Marcelo Rbeiro Ignacio</t>
  </si>
  <si>
    <t>747.977.470-02</t>
  </si>
  <si>
    <t>Rua Tim Maia 7375</t>
  </si>
  <si>
    <t>22790-669</t>
  </si>
  <si>
    <t>(21)99718-3079</t>
  </si>
  <si>
    <t>prof-ignacio@bol.com.br</t>
  </si>
  <si>
    <t>2023pg</t>
  </si>
  <si>
    <t>Normas:</t>
  </si>
  <si>
    <t>Aprovados</t>
  </si>
  <si>
    <t>Recepção ao grau de MESA</t>
  </si>
  <si>
    <t>Término do Insterstício</t>
  </si>
  <si>
    <t>Retornou a Loja em 2022.08.09</t>
  </si>
  <si>
    <t>Controle de frequência</t>
  </si>
  <si>
    <t>1. Ordenado por data crescente de Término do Interstício para participação ininterrupta na Loja.</t>
  </si>
  <si>
    <t>2. Classificado por data de Recepção ou Filiação na Loja</t>
  </si>
  <si>
    <t>3. Se ficar sem pagar anuidade, volta para o fim da fila da data que retornou</t>
  </si>
  <si>
    <t>5. Presença vai ser critério de aprovação</t>
  </si>
  <si>
    <t>6. Critério de desempate: média entre idade maçônica e idade natural</t>
  </si>
  <si>
    <t>Lista de Classificação</t>
  </si>
  <si>
    <t>Recepção ao grau de EN</t>
  </si>
  <si>
    <t>4. É obrigatório mínimo de 3 presenças em MESA anteriores a data da Armadura</t>
  </si>
  <si>
    <t>6. Presença vai ser critério de aprovação</t>
  </si>
  <si>
    <t>7. Critério de desempate: média entre idade maçônica e idade natural</t>
  </si>
  <si>
    <t>8. Em caso de declinar, será colocado no final da fila.</t>
  </si>
  <si>
    <t>1.LC</t>
  </si>
  <si>
    <t>2.LC</t>
  </si>
  <si>
    <t>A</t>
  </si>
  <si>
    <t>J</t>
  </si>
  <si>
    <t>9. Na ausência de presenças suficientes, o candidato irá para o final da fila.</t>
  </si>
  <si>
    <t>7. Em caso de declinar, será colocado no final da fila.</t>
  </si>
  <si>
    <t>8. Na ausência de presenças suficientes, o candidato irá para o final da fila.</t>
  </si>
  <si>
    <t>Aguardando</t>
  </si>
  <si>
    <t>Data envio para o GP</t>
  </si>
  <si>
    <t>Data Rec. Boleto</t>
  </si>
  <si>
    <t>Data de envio Comprovante</t>
  </si>
  <si>
    <t>Data de chegada do material</t>
  </si>
  <si>
    <t>LOJA DE MESTRE ESCOCÊS DE SANTO ANDRÉ CAVALEIROS DO TEMPLO 15</t>
  </si>
  <si>
    <t>PREFEITURA SÃO SEBASTIAO DO RIO DE JANEIRO</t>
  </si>
  <si>
    <t>CONTROLE DE MUDANÇA DE GRAU - ESCUDEIRO NOVIÇO PARA CBCS</t>
  </si>
  <si>
    <t>CONTROLE DE MUDANÇA DE GRAU - MESA PARA ESCUDEIRO NOVIÇO</t>
  </si>
  <si>
    <t>A - Ausente sem justificativa</t>
  </si>
  <si>
    <t>J - Ausência Justificada</t>
  </si>
  <si>
    <t>CONTROLE DO PROCESSO</t>
  </si>
  <si>
    <t>Declinaram:</t>
  </si>
  <si>
    <t>Posição</t>
  </si>
  <si>
    <t>5. É obrigatório mínimo de 1 presença em Loja Capitular (LC) anteriores a data da Armadura</t>
  </si>
  <si>
    <t>Aguardando data para recepção</t>
  </si>
  <si>
    <t>Aguardando retorno do Priorado</t>
  </si>
  <si>
    <t>2032pa depois</t>
  </si>
  <si>
    <t>Novo</t>
  </si>
  <si>
    <t>(21) 97020-7052</t>
  </si>
  <si>
    <t>(22) 99818-4603</t>
  </si>
  <si>
    <t>(21) 96449-1548</t>
  </si>
  <si>
    <t>(21) 98822-9242</t>
  </si>
  <si>
    <t>(21) 98183-2626</t>
  </si>
  <si>
    <t>13/05/2023</t>
  </si>
  <si>
    <t>guilhermeneto@cccrj.com.Br</t>
  </si>
  <si>
    <t>(21) 99234-9186</t>
  </si>
  <si>
    <t>22030-001</t>
  </si>
  <si>
    <t>Rua Tonelero 44 apto 401</t>
  </si>
  <si>
    <t>923.088.997-00</t>
  </si>
  <si>
    <t>CARLOS ALBERTO MARQUES RIBEIRO FILHO</t>
  </si>
  <si>
    <t>RUA PROJETADA  3839, CASA 33</t>
  </si>
  <si>
    <t>76.822-608</t>
  </si>
  <si>
    <t>RO</t>
  </si>
  <si>
    <t>(69) 99981-3333</t>
  </si>
  <si>
    <t>marques_ribeiro@hotmail.com</t>
  </si>
  <si>
    <t>230.277.462-00</t>
  </si>
  <si>
    <t>Porto Velho</t>
  </si>
  <si>
    <t>Eduardo Pereira Viana</t>
  </si>
  <si>
    <t>867.920.917-15</t>
  </si>
  <si>
    <t>Cesar Morani 17, 50/01</t>
  </si>
  <si>
    <t>22790-705</t>
  </si>
  <si>
    <t>eduvianabsbpapa@gmail.com</t>
  </si>
  <si>
    <t>(21) 99778-1222</t>
  </si>
  <si>
    <t>IMPEESA</t>
  </si>
  <si>
    <t>Vinicius Rezende Marinho</t>
  </si>
  <si>
    <t>071.030.667-95</t>
  </si>
  <si>
    <t>Rua Augusto Vasconcelos 568, apt 301, BL1</t>
  </si>
  <si>
    <t>23050-340</t>
  </si>
  <si>
    <t>(21)98344-1560</t>
  </si>
  <si>
    <t>Vinicius76marinho@yahoo.com.br</t>
  </si>
  <si>
    <t>Rua Alice Figueiredo 82 casa B , bairro do Riachuelo.</t>
  </si>
  <si>
    <t>20950-150</t>
  </si>
  <si>
    <t>Rua Torres Homem, 710/308</t>
  </si>
  <si>
    <t>20551-075</t>
  </si>
  <si>
    <t>(21) 98144-7776</t>
  </si>
  <si>
    <t>Felipe Eduardo Portela de Paulo</t>
  </si>
  <si>
    <t>Inativos</t>
  </si>
  <si>
    <t>Rua Camilo Pereira 35, Pendotiba</t>
  </si>
  <si>
    <t>24.310-000</t>
  </si>
  <si>
    <t>(21) 99907-0307</t>
  </si>
  <si>
    <t>rsistem.consultoria@gmail.com</t>
  </si>
  <si>
    <t>ANDRÉ SANTOS WANDERLEY</t>
  </si>
  <si>
    <t>ALEXANDRE ANTHONY BARRERA</t>
  </si>
  <si>
    <t>JAILTON PANISSOLO</t>
  </si>
  <si>
    <t>JORGE GOUVEA MELLO</t>
  </si>
  <si>
    <t>RODRIGO RIBEIRO DE ARAÚJO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</si>
  <si>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JAIR GIOLO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</si>
  <si>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IURY JUSTO DE BARROS</t>
    </r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</si>
  <si>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RODRIGO ANTÔNIO SOUZA DE ANDRADE RODRIGUES</t>
    </r>
  </si>
  <si>
    <t>ELVANGER SANTOS CARDOSO</t>
  </si>
  <si>
    <t>GREYCON DE CASTRO BARRETO PINHEIRO</t>
  </si>
  <si>
    <t>ANTÔNIO MAURO DA SILA</t>
  </si>
  <si>
    <t>LUCIANO GOMES DE SOUZA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</si>
  <si>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ENDLEEW CARDOSO BARBOSA DA SILVA</t>
    </r>
  </si>
  <si>
    <t>EUDES ANGELIS MENDES GUSMÃO</t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</si>
  <si>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FÁBIO DOS SANTOS  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</si>
  <si>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MARCELLO CARNEIRO</t>
    </r>
  </si>
  <si>
    <t>MAURO CÉSAR XAVIER MADEIRA</t>
  </si>
  <si>
    <t>FERNANDO LUIZ JANUÁRIO DA SILVA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</si>
  <si>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CLAYTON SILVA CERQUEIRA</t>
    </r>
  </si>
  <si>
    <t>CARLOS RENATO D. DE ALMEIDA</t>
  </si>
  <si>
    <t>JOSÉ GERALDO DE ALMEIDA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</si>
  <si>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JOSÉ CARLOS MATHEUS SANTIAGO</t>
    </r>
  </si>
  <si>
    <t>GUARACY DA SILVA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</si>
  <si>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LUIZ PAULO SOBRAL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</si>
  <si>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MOSAN DIAS DOS SANTOS</t>
    </r>
  </si>
  <si>
    <t>ITALO LOUZADA LOPES</t>
  </si>
  <si>
    <t>LUIZ OLINTO OLIVEIRA CASTRO FILHO</t>
  </si>
  <si>
    <t>PAULO ROBERTO DA SILVA</t>
  </si>
  <si>
    <t>REGINALDO PEREIRA DA SILVA</t>
  </si>
  <si>
    <t xml:space="preserve">WELLINGTON RICARDO DE ALMEIDA ARCINDO </t>
  </si>
  <si>
    <t>LEANDO BONFIM PEDRO</t>
  </si>
  <si>
    <t>JOSÉ RICARDO MATOS RIBEIRO</t>
  </si>
  <si>
    <t>863.563.217-68</t>
  </si>
  <si>
    <t>LUIZ OTÁVIO ABRANTE</t>
  </si>
  <si>
    <t>PAULO ROBERTO OGAWA TEIXEIRA</t>
  </si>
  <si>
    <t>DEPUTADO MESTRE</t>
  </si>
  <si>
    <t>CLAÚDIO BRAZ DE SOUSA</t>
  </si>
  <si>
    <t>GUILERME BRAGA ABREU PIRES NETO</t>
  </si>
  <si>
    <t xml:space="preserve">ANTÔNIO DE ABREU MAURO FILHO 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</si>
  <si>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JOSE VALDOMIRO DE OLIVEIRA</t>
    </r>
  </si>
  <si>
    <t>WELLINGTON ARCINDO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</si>
</sst>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&quot;R$&quot;\ #,##0.00"/>
  </numFmts>
  <fonts count="49">
    <font>
      <sz val="11"/>
      <color theme="1"/>
      <name val="Liberation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Liberation Sans"/>
    </font>
    <font>
      <sz val="11"/>
      <color theme="1"/>
      <name val="Liberation Sans"/>
    </font>
    <font>
      <b/>
      <sz val="18"/>
      <color theme="1"/>
      <name val="Liberation Sans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</font>
    <font>
      <u/>
      <sz val="10"/>
      <color theme="10"/>
      <name val="Calibri"/>
      <family val="2"/>
      <scheme val="minor"/>
    </font>
    <font>
      <sz val="8"/>
      <color theme="1"/>
      <name val="Calibri"/>
      <family val="2"/>
    </font>
    <font>
      <sz val="11"/>
      <color rgb="FF000000"/>
      <name val="Calibri"/>
      <family val="2"/>
    </font>
    <font>
      <b/>
      <sz val="26"/>
      <color theme="1"/>
      <name val="Calibri"/>
      <family val="2"/>
    </font>
    <font>
      <sz val="10"/>
      <color theme="1"/>
      <name val="Liberation Sans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1"/>
      <color theme="1"/>
      <name val="Liberation Sans"/>
    </font>
    <font>
      <sz val="8"/>
      <color theme="1"/>
      <name val="Liberation Sans"/>
    </font>
    <font>
      <b/>
      <sz val="11"/>
      <color theme="1"/>
      <name val="Calibri"/>
      <family val="2"/>
      <scheme val="minor"/>
    </font>
    <font>
      <sz val="11"/>
      <name val="Liberation Sans"/>
    </font>
    <font>
      <b/>
      <sz val="10"/>
      <color theme="0"/>
      <name val="Calibri"/>
      <family val="2"/>
      <scheme val="minor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Liberation Sans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theme="4"/>
      <name val="Calibri"/>
      <family val="2"/>
    </font>
    <font>
      <sz val="10"/>
      <color theme="4"/>
      <name val="Calibri"/>
      <family val="2"/>
    </font>
    <font>
      <sz val="10"/>
      <color theme="9" tint="-0.249977111117893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5" fillId="0" borderId="0">
      <alignment horizontal="center"/>
    </xf>
    <xf numFmtId="0" fontId="5" fillId="0" borderId="0">
      <alignment horizontal="center" textRotation="90"/>
    </xf>
    <xf numFmtId="0" fontId="6" fillId="0" borderId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8" fillId="0" borderId="0"/>
    <xf numFmtId="0" fontId="22" fillId="0" borderId="0"/>
    <xf numFmtId="0" fontId="4" fillId="0" borderId="0"/>
    <xf numFmtId="0" fontId="4" fillId="0" borderId="0"/>
  </cellStyleXfs>
  <cellXfs count="164">
    <xf numFmtId="0" fontId="0" fillId="0" borderId="0" xfId="0"/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2" xfId="5" applyFont="1" applyBorder="1" applyAlignment="1">
      <alignment horizontal="center" vertical="center"/>
    </xf>
    <xf numFmtId="0" fontId="13" fillId="0" borderId="2" xfId="5" applyFont="1" applyBorder="1" applyAlignment="1">
      <alignment vertical="center"/>
    </xf>
    <xf numFmtId="0" fontId="13" fillId="0" borderId="2" xfId="5" applyFont="1" applyBorder="1" applyAlignment="1">
      <alignment horizontal="left" vertical="center"/>
    </xf>
    <xf numFmtId="49" fontId="13" fillId="0" borderId="2" xfId="5" applyNumberFormat="1" applyFont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0" fontId="14" fillId="0" borderId="2" xfId="5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0" fontId="13" fillId="0" borderId="0" xfId="5" applyFont="1" applyAlignment="1">
      <alignment vertical="center"/>
    </xf>
    <xf numFmtId="0" fontId="13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3" fillId="0" borderId="0" xfId="5" applyFont="1" applyAlignment="1">
      <alignment horizontal="center" vertical="center"/>
    </xf>
    <xf numFmtId="0" fontId="10" fillId="0" borderId="0" xfId="0" applyFont="1"/>
    <xf numFmtId="0" fontId="13" fillId="0" borderId="2" xfId="0" applyFont="1" applyBorder="1" applyAlignment="1">
      <alignment horizontal="center"/>
    </xf>
    <xf numFmtId="49" fontId="13" fillId="0" borderId="2" xfId="5" applyNumberFormat="1" applyFont="1" applyBorder="1" applyAlignment="1">
      <alignment horizontal="left" vertical="center"/>
    </xf>
    <xf numFmtId="0" fontId="13" fillId="2" borderId="2" xfId="5" applyFont="1" applyFill="1" applyBorder="1" applyAlignment="1">
      <alignment horizontal="center" vertical="center"/>
    </xf>
    <xf numFmtId="0" fontId="13" fillId="2" borderId="2" xfId="5" applyFont="1" applyFill="1" applyBorder="1" applyAlignment="1">
      <alignment horizontal="left" vertical="center"/>
    </xf>
    <xf numFmtId="0" fontId="20" fillId="0" borderId="2" xfId="8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23" fillId="0" borderId="0" xfId="0" applyFont="1" applyAlignment="1">
      <alignment vertical="center" textRotation="90"/>
    </xf>
    <xf numFmtId="0" fontId="24" fillId="0" borderId="0" xfId="0" applyFont="1"/>
    <xf numFmtId="0" fontId="20" fillId="2" borderId="2" xfId="8" applyFont="1" applyFill="1" applyBorder="1" applyAlignment="1">
      <alignment horizontal="left" vertical="center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center"/>
    </xf>
    <xf numFmtId="49" fontId="12" fillId="5" borderId="0" xfId="0" applyNumberFormat="1" applyFont="1" applyFill="1" applyAlignment="1">
      <alignment horizontal="center"/>
    </xf>
    <xf numFmtId="0" fontId="24" fillId="5" borderId="0" xfId="0" applyFont="1" applyFill="1"/>
    <xf numFmtId="0" fontId="23" fillId="0" borderId="0" xfId="0" applyFont="1" applyAlignment="1">
      <alignment horizontal="center" vertical="center" textRotation="90"/>
    </xf>
    <xf numFmtId="49" fontId="13" fillId="0" borderId="0" xfId="5" applyNumberFormat="1" applyFont="1" applyAlignment="1">
      <alignment horizontal="left" vertical="center"/>
    </xf>
    <xf numFmtId="49" fontId="13" fillId="0" borderId="0" xfId="5" applyNumberFormat="1" applyFont="1" applyAlignment="1">
      <alignment horizontal="center" vertical="center"/>
    </xf>
    <xf numFmtId="49" fontId="21" fillId="0" borderId="0" xfId="5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4" fontId="25" fillId="4" borderId="2" xfId="5" applyNumberFormat="1" applyFont="1" applyFill="1" applyBorder="1" applyAlignment="1">
      <alignment horizontal="center" vertical="center"/>
    </xf>
    <xf numFmtId="14" fontId="25" fillId="4" borderId="2" xfId="0" applyNumberFormat="1" applyFont="1" applyFill="1" applyBorder="1" applyAlignment="1">
      <alignment horizontal="center" vertical="center"/>
    </xf>
    <xf numFmtId="0" fontId="8" fillId="0" borderId="2" xfId="8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5" applyFont="1" applyAlignment="1">
      <alignment horizontal="left" vertical="center"/>
    </xf>
    <xf numFmtId="0" fontId="0" fillId="5" borderId="0" xfId="0" applyFill="1" applyAlignment="1">
      <alignment horizontal="center"/>
    </xf>
    <xf numFmtId="49" fontId="13" fillId="0" borderId="2" xfId="17" applyNumberFormat="1" applyFont="1" applyBorder="1" applyAlignment="1">
      <alignment horizontal="left" vertical="center"/>
    </xf>
    <xf numFmtId="49" fontId="8" fillId="0" borderId="2" xfId="8" applyNumberFormat="1" applyBorder="1" applyAlignment="1">
      <alignment horizontal="left" vertical="center"/>
    </xf>
    <xf numFmtId="14" fontId="16" fillId="0" borderId="2" xfId="5" applyNumberFormat="1" applyFont="1" applyBorder="1" applyAlignment="1">
      <alignment horizontal="center" vertical="center"/>
    </xf>
    <xf numFmtId="0" fontId="21" fillId="0" borderId="2" xfId="5" applyFont="1" applyBorder="1" applyAlignment="1">
      <alignment horizontal="center" vertical="center"/>
    </xf>
    <xf numFmtId="49" fontId="13" fillId="0" borderId="0" xfId="17" applyNumberFormat="1" applyFont="1" applyAlignment="1">
      <alignment horizontal="left" vertical="center"/>
    </xf>
    <xf numFmtId="49" fontId="13" fillId="0" borderId="0" xfId="17" applyNumberFormat="1" applyFont="1" applyAlignment="1">
      <alignment horizontal="center" vertical="center"/>
    </xf>
    <xf numFmtId="49" fontId="21" fillId="0" borderId="0" xfId="17" applyNumberFormat="1" applyFont="1" applyAlignment="1">
      <alignment horizontal="center" vertical="center"/>
    </xf>
    <xf numFmtId="0" fontId="13" fillId="0" borderId="0" xfId="17" applyFont="1" applyAlignment="1">
      <alignment horizontal="center"/>
    </xf>
    <xf numFmtId="49" fontId="8" fillId="0" borderId="0" xfId="8" applyNumberFormat="1" applyBorder="1" applyAlignment="1">
      <alignment horizontal="left" vertical="center"/>
    </xf>
    <xf numFmtId="14" fontId="16" fillId="3" borderId="2" xfId="5" applyNumberFormat="1" applyFont="1" applyFill="1" applyBorder="1" applyAlignment="1">
      <alignment horizontal="center" vertical="center"/>
    </xf>
    <xf numFmtId="14" fontId="13" fillId="0" borderId="0" xfId="0" applyNumberFormat="1" applyFont="1"/>
    <xf numFmtId="14" fontId="16" fillId="5" borderId="2" xfId="5" applyNumberFormat="1" applyFont="1" applyFill="1" applyBorder="1" applyAlignment="1">
      <alignment horizontal="center" vertical="center"/>
    </xf>
    <xf numFmtId="14" fontId="26" fillId="5" borderId="2" xfId="5" applyNumberFormat="1" applyFont="1" applyFill="1" applyBorder="1" applyAlignment="1">
      <alignment horizontal="center" vertical="center"/>
    </xf>
    <xf numFmtId="0" fontId="28" fillId="0" borderId="0" xfId="0" applyFont="1"/>
    <xf numFmtId="0" fontId="13" fillId="0" borderId="0" xfId="17" applyFont="1" applyAlignment="1">
      <alignment horizontal="center" vertical="center"/>
    </xf>
    <xf numFmtId="14" fontId="16" fillId="0" borderId="0" xfId="5" applyNumberFormat="1" applyFont="1" applyAlignment="1">
      <alignment horizontal="center" vertical="center"/>
    </xf>
    <xf numFmtId="49" fontId="8" fillId="0" borderId="0" xfId="8" applyNumberFormat="1" applyFill="1" applyBorder="1" applyAlignment="1">
      <alignment horizontal="left" vertical="center"/>
    </xf>
    <xf numFmtId="14" fontId="12" fillId="0" borderId="0" xfId="0" applyNumberFormat="1" applyFont="1" applyAlignment="1">
      <alignment horizontal="center"/>
    </xf>
    <xf numFmtId="0" fontId="17" fillId="5" borderId="0" xfId="5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14" fontId="25" fillId="0" borderId="0" xfId="0" applyNumberFormat="1" applyFont="1" applyAlignment="1">
      <alignment horizontal="center" vertical="center"/>
    </xf>
    <xf numFmtId="14" fontId="25" fillId="0" borderId="0" xfId="5" applyNumberFormat="1" applyFont="1" applyAlignment="1">
      <alignment horizontal="center" vertical="center"/>
    </xf>
    <xf numFmtId="0" fontId="16" fillId="0" borderId="0" xfId="5" applyFont="1" applyAlignment="1">
      <alignment vertical="center"/>
    </xf>
    <xf numFmtId="0" fontId="8" fillId="0" borderId="0" xfId="8" applyFill="1" applyBorder="1" applyAlignment="1">
      <alignment vertical="center"/>
    </xf>
    <xf numFmtId="0" fontId="3" fillId="0" borderId="0" xfId="0" applyFont="1"/>
    <xf numFmtId="0" fontId="12" fillId="0" borderId="2" xfId="5" applyFont="1" applyBorder="1" applyAlignment="1">
      <alignment horizontal="left" vertical="center"/>
    </xf>
    <xf numFmtId="14" fontId="31" fillId="4" borderId="2" xfId="5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49" fontId="12" fillId="0" borderId="2" xfId="5" applyNumberFormat="1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49" fontId="12" fillId="0" borderId="2" xfId="17" applyNumberFormat="1" applyFont="1" applyBorder="1" applyAlignment="1">
      <alignment horizontal="left" vertical="center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14" fontId="12" fillId="0" borderId="0" xfId="0" applyNumberFormat="1" applyFont="1" applyAlignment="1">
      <alignment horizontal="left"/>
    </xf>
    <xf numFmtId="14" fontId="32" fillId="6" borderId="2" xfId="5" applyNumberFormat="1" applyFont="1" applyFill="1" applyBorder="1" applyAlignment="1">
      <alignment horizontal="center" vertical="center"/>
    </xf>
    <xf numFmtId="14" fontId="32" fillId="6" borderId="2" xfId="0" applyNumberFormat="1" applyFont="1" applyFill="1" applyBorder="1" applyAlignment="1">
      <alignment horizontal="center" vertical="center"/>
    </xf>
    <xf numFmtId="14" fontId="33" fillId="0" borderId="2" xfId="5" applyNumberFormat="1" applyFont="1" applyBorder="1" applyAlignment="1">
      <alignment horizontal="center" vertical="center"/>
    </xf>
    <xf numFmtId="0" fontId="37" fillId="0" borderId="0" xfId="0" applyFont="1"/>
    <xf numFmtId="14" fontId="38" fillId="0" borderId="2" xfId="0" applyNumberFormat="1" applyFont="1" applyBorder="1" applyAlignment="1">
      <alignment horizontal="center"/>
    </xf>
    <xf numFmtId="0" fontId="12" fillId="0" borderId="0" xfId="5" applyFont="1" applyAlignment="1">
      <alignment horizontal="left" vertical="center"/>
    </xf>
    <xf numFmtId="14" fontId="31" fillId="0" borderId="0" xfId="5" applyNumberFormat="1" applyFont="1" applyAlignment="1">
      <alignment horizontal="center" vertical="center"/>
    </xf>
    <xf numFmtId="0" fontId="16" fillId="0" borderId="2" xfId="5" applyFont="1" applyBorder="1" applyAlignment="1">
      <alignment vertical="center"/>
    </xf>
    <xf numFmtId="0" fontId="20" fillId="0" borderId="7" xfId="8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14" fontId="12" fillId="5" borderId="2" xfId="0" applyNumberFormat="1" applyFont="1" applyFill="1" applyBorder="1" applyAlignment="1">
      <alignment horizontal="center"/>
    </xf>
    <xf numFmtId="14" fontId="12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14" fillId="0" borderId="0" xfId="5" applyNumberFormat="1" applyFont="1" applyAlignment="1">
      <alignment horizontal="left" vertical="center"/>
    </xf>
    <xf numFmtId="1" fontId="12" fillId="0" borderId="5" xfId="0" applyNumberFormat="1" applyFont="1" applyBorder="1" applyAlignment="1">
      <alignment horizontal="center"/>
    </xf>
    <xf numFmtId="0" fontId="2" fillId="0" borderId="0" xfId="0" applyFont="1"/>
    <xf numFmtId="0" fontId="14" fillId="0" borderId="0" xfId="17" applyFont="1" applyAlignment="1">
      <alignment horizontal="left" vertical="center"/>
    </xf>
    <xf numFmtId="49" fontId="26" fillId="0" borderId="0" xfId="17" applyNumberFormat="1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5" fillId="0" borderId="2" xfId="0" applyFont="1" applyBorder="1" applyAlignment="1">
      <alignment horizontal="center" vertical="center"/>
    </xf>
    <xf numFmtId="14" fontId="36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4" fontId="26" fillId="0" borderId="0" xfId="0" applyNumberFormat="1" applyFont="1" applyAlignment="1">
      <alignment horizontal="center" vertical="center"/>
    </xf>
    <xf numFmtId="0" fontId="30" fillId="0" borderId="0" xfId="0" applyFont="1"/>
    <xf numFmtId="49" fontId="26" fillId="0" borderId="2" xfId="17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49" fontId="13" fillId="0" borderId="2" xfId="17" applyNumberFormat="1" applyFont="1" applyBorder="1" applyAlignment="1">
      <alignment horizontal="center" vertical="center"/>
    </xf>
    <xf numFmtId="49" fontId="21" fillId="0" borderId="2" xfId="5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left"/>
    </xf>
    <xf numFmtId="0" fontId="1" fillId="0" borderId="0" xfId="0" applyFont="1"/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4" fontId="25" fillId="4" borderId="3" xfId="5" applyNumberFormat="1" applyFont="1" applyFill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49" fontId="13" fillId="0" borderId="5" xfId="17" applyNumberFormat="1" applyFont="1" applyBorder="1" applyAlignment="1">
      <alignment horizontal="center" vertical="center"/>
    </xf>
    <xf numFmtId="49" fontId="13" fillId="0" borderId="6" xfId="17" applyNumberFormat="1" applyFont="1" applyBorder="1" applyAlignment="1">
      <alignment horizontal="center" vertical="center"/>
    </xf>
    <xf numFmtId="49" fontId="13" fillId="0" borderId="7" xfId="17" applyNumberFormat="1" applyFont="1" applyBorder="1" applyAlignment="1">
      <alignment horizontal="left" vertical="center"/>
    </xf>
    <xf numFmtId="0" fontId="13" fillId="0" borderId="7" xfId="5" applyFont="1" applyBorder="1" applyAlignment="1">
      <alignment vertical="center"/>
    </xf>
    <xf numFmtId="0" fontId="10" fillId="0" borderId="2" xfId="0" applyFont="1" applyBorder="1"/>
    <xf numFmtId="0" fontId="13" fillId="0" borderId="3" xfId="5" applyFont="1" applyBorder="1" applyAlignment="1">
      <alignment horizontal="left" vertical="center"/>
    </xf>
    <xf numFmtId="0" fontId="13" fillId="2" borderId="2" xfId="5" applyFont="1" applyFill="1" applyBorder="1" applyAlignment="1">
      <alignment vertical="center"/>
    </xf>
    <xf numFmtId="0" fontId="13" fillId="0" borderId="0" xfId="0" applyFont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center" vertical="center" wrapText="1"/>
    </xf>
    <xf numFmtId="0" fontId="8" fillId="0" borderId="0" xfId="8" applyBorder="1" applyAlignment="1">
      <alignment horizontal="center" vertical="center" wrapText="1"/>
    </xf>
    <xf numFmtId="0" fontId="39" fillId="0" borderId="0" xfId="0" applyFont="1" applyAlignment="1">
      <alignment horizontal="justify" vertical="center"/>
    </xf>
    <xf numFmtId="0" fontId="41" fillId="0" borderId="0" xfId="0" applyFont="1" applyAlignment="1">
      <alignment horizontal="justify" vertical="center"/>
    </xf>
    <xf numFmtId="0" fontId="39" fillId="0" borderId="0" xfId="0" applyFont="1" applyAlignment="1">
      <alignment vertical="center"/>
    </xf>
    <xf numFmtId="0" fontId="42" fillId="0" borderId="0" xfId="0" applyFont="1" applyAlignment="1">
      <alignment horizontal="justify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center" vertical="center" wrapText="1"/>
    </xf>
    <xf numFmtId="0" fontId="43" fillId="0" borderId="0" xfId="0" applyFont="1" applyAlignment="1">
      <alignment horizontal="justify" vertical="center"/>
    </xf>
    <xf numFmtId="0" fontId="44" fillId="0" borderId="3" xfId="0" applyFont="1" applyBorder="1" applyAlignment="1">
      <alignment horizontal="center" vertical="center" wrapText="1"/>
    </xf>
    <xf numFmtId="49" fontId="44" fillId="0" borderId="2" xfId="5" applyNumberFormat="1" applyFont="1" applyBorder="1" applyAlignment="1">
      <alignment horizontal="center" vertical="center"/>
    </xf>
    <xf numFmtId="0" fontId="44" fillId="0" borderId="2" xfId="5" applyFont="1" applyBorder="1" applyAlignment="1">
      <alignment horizontal="center" vertical="center"/>
    </xf>
    <xf numFmtId="0" fontId="45" fillId="0" borderId="2" xfId="5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 wrapText="1"/>
    </xf>
    <xf numFmtId="0" fontId="46" fillId="0" borderId="2" xfId="5" applyFont="1" applyBorder="1" applyAlignment="1">
      <alignment horizontal="center" vertical="center"/>
    </xf>
    <xf numFmtId="0" fontId="47" fillId="0" borderId="2" xfId="5" applyFont="1" applyBorder="1" applyAlignment="1">
      <alignment horizontal="center" vertical="center"/>
    </xf>
    <xf numFmtId="0" fontId="47" fillId="0" borderId="2" xfId="17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textRotation="90"/>
    </xf>
    <xf numFmtId="0" fontId="11" fillId="0" borderId="0" xfId="0" applyFont="1" applyAlignment="1">
      <alignment horizontal="center"/>
    </xf>
    <xf numFmtId="0" fontId="17" fillId="4" borderId="12" xfId="5" applyFont="1" applyFill="1" applyBorder="1" applyAlignment="1">
      <alignment horizontal="center" vertical="center" textRotation="90"/>
    </xf>
    <xf numFmtId="0" fontId="17" fillId="4" borderId="13" xfId="5" applyFont="1" applyFill="1" applyBorder="1" applyAlignment="1">
      <alignment horizontal="center" vertical="center" textRotation="90"/>
    </xf>
    <xf numFmtId="0" fontId="37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14" fontId="38" fillId="0" borderId="2" xfId="0" applyNumberFormat="1" applyFont="1" applyBorder="1" applyAlignment="1">
      <alignment horizontal="center"/>
    </xf>
    <xf numFmtId="14" fontId="38" fillId="0" borderId="5" xfId="0" applyNumberFormat="1" applyFont="1" applyBorder="1" applyAlignment="1">
      <alignment horizontal="center"/>
    </xf>
    <xf numFmtId="14" fontId="38" fillId="0" borderId="8" xfId="0" applyNumberFormat="1" applyFont="1" applyBorder="1" applyAlignment="1">
      <alignment horizontal="center"/>
    </xf>
    <xf numFmtId="14" fontId="38" fillId="0" borderId="6" xfId="0" applyNumberFormat="1" applyFont="1" applyBorder="1" applyAlignment="1">
      <alignment horizontal="center"/>
    </xf>
  </cellXfs>
  <cellStyles count="18">
    <cellStyle name="Heading" xfId="1"/>
    <cellStyle name="Heading1" xfId="2"/>
    <cellStyle name="Hiperlink" xfId="8" builtinId="8"/>
    <cellStyle name="Hiperlink 2" xfId="13"/>
    <cellStyle name="Normal" xfId="0" builtinId="0" customBuiltin="1"/>
    <cellStyle name="Normal 2" xfId="5"/>
    <cellStyle name="Normal 2 2" xfId="17"/>
    <cellStyle name="Normal 3" xfId="14"/>
    <cellStyle name="Normal 4" xfId="15"/>
    <cellStyle name="Normal 5" xfId="16"/>
    <cellStyle name="Result" xfId="3"/>
    <cellStyle name="Result2" xfId="4"/>
    <cellStyle name="Vírgula 2" xfId="7"/>
    <cellStyle name="Vírgula 2 2" xfId="10"/>
    <cellStyle name="Vírgula 2 3" xfId="12"/>
    <cellStyle name="Vírgula 3" xfId="6"/>
    <cellStyle name="Vírgula 3 2" xfId="9"/>
    <cellStyle name="Vírgula 3 3" xfId="11"/>
  </cellStyles>
  <dxfs count="3"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mando@crtechn.com.br" TargetMode="External"/><Relationship Id="rId13" Type="http://schemas.openxmlformats.org/officeDocument/2006/relationships/hyperlink" Target="mailto:adm.mavs@gmail.com" TargetMode="External"/><Relationship Id="rId18" Type="http://schemas.openxmlformats.org/officeDocument/2006/relationships/hyperlink" Target="mailto:Vinicius76marinho@yahoo.com.br" TargetMode="External"/><Relationship Id="rId3" Type="http://schemas.openxmlformats.org/officeDocument/2006/relationships/hyperlink" Target="mailto:mazolli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rbfonseca@msn.com" TargetMode="External"/><Relationship Id="rId12" Type="http://schemas.openxmlformats.org/officeDocument/2006/relationships/hyperlink" Target="mailto:gabrriel.coutinho@gmail.com" TargetMode="External"/><Relationship Id="rId17" Type="http://schemas.openxmlformats.org/officeDocument/2006/relationships/hyperlink" Target="mailto:eduvianabsbpapa@gmail.com" TargetMode="External"/><Relationship Id="rId2" Type="http://schemas.openxmlformats.org/officeDocument/2006/relationships/hyperlink" Target="mailto:fabianobrito01@gmail.com" TargetMode="External"/><Relationship Id="rId16" Type="http://schemas.openxmlformats.org/officeDocument/2006/relationships/hyperlink" Target="mailto:marques_ribeiro@hotmail.com" TargetMode="External"/><Relationship Id="rId20" Type="http://schemas.openxmlformats.org/officeDocument/2006/relationships/hyperlink" Target="mailto:rsistem.consultoria@gmail.com" TargetMode="External"/><Relationship Id="rId1" Type="http://schemas.openxmlformats.org/officeDocument/2006/relationships/hyperlink" Target="mailto:wsouzanet@gmail.com" TargetMode="External"/><Relationship Id="rId6" Type="http://schemas.openxmlformats.org/officeDocument/2006/relationships/hyperlink" Target="mailto:aprendiz.pitagorico@yahoo.com.br" TargetMode="External"/><Relationship Id="rId11" Type="http://schemas.openxmlformats.org/officeDocument/2006/relationships/hyperlink" Target="mailto:pedrorenato.rodriguesdefreitas@gmail.com" TargetMode="External"/><Relationship Id="rId5" Type="http://schemas.openxmlformats.org/officeDocument/2006/relationships/hyperlink" Target="mailto:felipe@depaulo.com.br" TargetMode="External"/><Relationship Id="rId15" Type="http://schemas.openxmlformats.org/officeDocument/2006/relationships/hyperlink" Target="mailto:prof-ignacio@bol.com.br" TargetMode="External"/><Relationship Id="rId10" Type="http://schemas.openxmlformats.org/officeDocument/2006/relationships/hyperlink" Target="mailto:filipics@gmail.com" TargetMode="External"/><Relationship Id="rId19" Type="http://schemas.openxmlformats.org/officeDocument/2006/relationships/hyperlink" Target="mailto:rogbitt@gmail.com" TargetMode="External"/><Relationship Id="rId4" Type="http://schemas.openxmlformats.org/officeDocument/2006/relationships/hyperlink" Target="mailto:talesrj@gmail.com" TargetMode="External"/><Relationship Id="rId9" Type="http://schemas.openxmlformats.org/officeDocument/2006/relationships/hyperlink" Target="mailto:gustavobode33@gmail.com" TargetMode="External"/><Relationship Id="rId14" Type="http://schemas.openxmlformats.org/officeDocument/2006/relationships/hyperlink" Target="mailto:gpmaxim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4"/>
  <sheetViews>
    <sheetView tabSelected="1" topLeftCell="B50" zoomScaleNormal="100" workbookViewId="0">
      <selection activeCell="E71" sqref="E71"/>
    </sheetView>
  </sheetViews>
  <sheetFormatPr defaultColWidth="9" defaultRowHeight="14.4"/>
  <cols>
    <col min="1" max="1" width="0" style="17" hidden="1" customWidth="1"/>
    <col min="2" max="2" width="4.69921875" style="2" customWidth="1"/>
    <col min="3" max="3" width="12.8984375" style="2" customWidth="1"/>
    <col min="4" max="4" width="39.69921875" style="15" customWidth="1"/>
    <col min="5" max="5" width="15.8984375" style="2" customWidth="1"/>
    <col min="6" max="6" width="14" style="2" customWidth="1"/>
    <col min="7" max="7" width="16.8984375" style="17" customWidth="1"/>
    <col min="8" max="8" width="11.3984375" style="2" customWidth="1"/>
    <col min="9" max="9" width="13.5" style="1" customWidth="1"/>
    <col min="10" max="10" width="41" style="3" customWidth="1"/>
    <col min="11" max="11" width="15.3984375" style="2" customWidth="1"/>
    <col min="12" max="12" width="10.5" style="2" customWidth="1"/>
    <col min="13" max="13" width="9" style="44" customWidth="1"/>
    <col min="14" max="14" width="15.19921875" style="2" customWidth="1"/>
    <col min="15" max="15" width="38.59765625" style="27" customWidth="1"/>
    <col min="16" max="16" width="9.5" style="17" bestFit="1" customWidth="1"/>
    <col min="17" max="16384" width="9" style="17"/>
  </cols>
  <sheetData>
    <row r="1" spans="1:18" ht="22.8">
      <c r="A1" s="155" t="s">
        <v>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Q1" s="60" t="s">
        <v>86</v>
      </c>
      <c r="R1" s="60" t="s">
        <v>87</v>
      </c>
    </row>
    <row r="2" spans="1:18">
      <c r="A2" s="29"/>
      <c r="B2" s="30"/>
      <c r="C2" s="30"/>
      <c r="D2" s="31"/>
      <c r="E2" s="30"/>
      <c r="F2" s="30"/>
      <c r="G2" s="29"/>
      <c r="H2" s="30"/>
      <c r="I2" s="32"/>
      <c r="J2" s="33"/>
      <c r="K2" s="30"/>
      <c r="L2" s="30"/>
      <c r="M2" s="46"/>
      <c r="N2" s="30"/>
      <c r="O2" s="34"/>
      <c r="P2" s="57">
        <f ca="1">TODAY()</f>
        <v>46012</v>
      </c>
      <c r="Q2" s="60">
        <f>18*31</f>
        <v>558</v>
      </c>
      <c r="R2" s="60">
        <v>365</v>
      </c>
    </row>
    <row r="3" spans="1:18" s="14" customFormat="1" ht="27" customHeight="1">
      <c r="A3" s="154" t="s">
        <v>64</v>
      </c>
      <c r="B3" s="13" t="s">
        <v>65</v>
      </c>
      <c r="C3" s="120" t="s">
        <v>66</v>
      </c>
      <c r="D3" s="121" t="s">
        <v>67</v>
      </c>
      <c r="E3" s="122" t="s">
        <v>73</v>
      </c>
      <c r="F3" s="123" t="s">
        <v>11</v>
      </c>
      <c r="G3" s="123" t="s">
        <v>46</v>
      </c>
      <c r="H3" s="123" t="s">
        <v>10</v>
      </c>
      <c r="I3" s="124" t="s">
        <v>3</v>
      </c>
      <c r="J3" s="120" t="s">
        <v>0</v>
      </c>
      <c r="K3" s="120" t="s">
        <v>1</v>
      </c>
      <c r="L3" s="121" t="s">
        <v>2</v>
      </c>
      <c r="M3" s="125" t="s">
        <v>68</v>
      </c>
      <c r="N3" s="126" t="s">
        <v>4</v>
      </c>
      <c r="O3" s="121" t="s">
        <v>5</v>
      </c>
    </row>
    <row r="4" spans="1:18" s="12" customFormat="1" ht="12.75" customHeight="1">
      <c r="A4" s="154"/>
      <c r="B4" s="156" t="s">
        <v>183</v>
      </c>
      <c r="C4" s="143" t="s">
        <v>236</v>
      </c>
      <c r="D4" s="141" t="s">
        <v>232</v>
      </c>
      <c r="E4" s="145" t="s">
        <v>10</v>
      </c>
      <c r="F4" s="123">
        <v>42873</v>
      </c>
      <c r="G4" s="123">
        <v>45116</v>
      </c>
      <c r="H4" s="123">
        <v>45548</v>
      </c>
      <c r="I4" s="135" t="s">
        <v>233</v>
      </c>
      <c r="J4" s="134" t="s">
        <v>197</v>
      </c>
      <c r="K4" s="134" t="s">
        <v>75</v>
      </c>
      <c r="L4" s="134" t="s">
        <v>198</v>
      </c>
      <c r="M4" s="125" t="s">
        <v>69</v>
      </c>
      <c r="N4" s="134" t="s">
        <v>199</v>
      </c>
      <c r="O4" s="136" t="s">
        <v>200</v>
      </c>
    </row>
    <row r="5" spans="1:18" s="12" customFormat="1" ht="12.75" customHeight="1">
      <c r="A5" s="154"/>
      <c r="B5" s="156"/>
      <c r="C5" s="134"/>
      <c r="D5" s="142" t="s">
        <v>201</v>
      </c>
      <c r="E5" s="145" t="s">
        <v>10</v>
      </c>
      <c r="F5" s="123"/>
      <c r="G5" s="123">
        <v>45116</v>
      </c>
      <c r="H5" s="123">
        <v>45116</v>
      </c>
      <c r="I5" s="135"/>
      <c r="J5" s="134"/>
      <c r="K5" s="134"/>
      <c r="L5" s="134"/>
      <c r="M5" s="125"/>
      <c r="N5" s="134"/>
      <c r="O5" s="136"/>
    </row>
    <row r="6" spans="1:18" s="12" customFormat="1" ht="12.75" customHeight="1">
      <c r="A6" s="154"/>
      <c r="B6" s="156"/>
      <c r="C6" s="134"/>
      <c r="D6" s="140" t="s">
        <v>203</v>
      </c>
      <c r="E6" s="149" t="s">
        <v>11</v>
      </c>
      <c r="F6" s="123">
        <v>45591</v>
      </c>
      <c r="G6" s="123"/>
      <c r="H6" s="123"/>
      <c r="I6" s="135"/>
      <c r="J6" s="134"/>
      <c r="K6" s="134"/>
      <c r="L6" s="134"/>
      <c r="M6" s="125"/>
      <c r="N6" s="134"/>
      <c r="O6" s="136"/>
    </row>
    <row r="7" spans="1:18" s="12" customFormat="1" ht="12.75" customHeight="1">
      <c r="A7" s="154"/>
      <c r="B7" s="156"/>
      <c r="C7" s="134"/>
      <c r="D7" s="137" t="s">
        <v>204</v>
      </c>
      <c r="E7" s="145" t="s">
        <v>10</v>
      </c>
      <c r="F7" s="123"/>
      <c r="G7" s="123">
        <v>45116</v>
      </c>
      <c r="H7" s="123">
        <v>45116</v>
      </c>
      <c r="I7" s="135"/>
      <c r="J7" s="134"/>
      <c r="K7" s="134"/>
      <c r="L7" s="134"/>
      <c r="M7" s="125"/>
      <c r="N7" s="134"/>
      <c r="O7" s="136"/>
    </row>
    <row r="8" spans="1:18" s="12" customFormat="1" ht="12.75" customHeight="1">
      <c r="A8" s="154"/>
      <c r="B8" s="156"/>
      <c r="C8" s="134"/>
      <c r="D8" s="144" t="s">
        <v>237</v>
      </c>
      <c r="E8" s="153" t="s">
        <v>46</v>
      </c>
      <c r="F8" s="123">
        <v>42873</v>
      </c>
      <c r="G8" s="123">
        <v>45257</v>
      </c>
      <c r="H8" s="123"/>
      <c r="I8" s="135"/>
      <c r="J8" s="134"/>
      <c r="K8" s="134"/>
      <c r="L8" s="134"/>
      <c r="M8" s="125"/>
      <c r="N8" s="134"/>
      <c r="O8" s="136"/>
    </row>
    <row r="9" spans="1:18" s="12" customFormat="1" ht="12.75" customHeight="1">
      <c r="A9" s="154"/>
      <c r="B9" s="156"/>
      <c r="C9" s="134"/>
      <c r="D9" s="137" t="s">
        <v>205</v>
      </c>
      <c r="E9" s="149" t="s">
        <v>11</v>
      </c>
      <c r="F9" s="123">
        <v>45563</v>
      </c>
      <c r="G9" s="123"/>
      <c r="H9" s="123"/>
      <c r="I9" s="135"/>
      <c r="J9" s="134"/>
      <c r="K9" s="134"/>
      <c r="L9" s="134"/>
      <c r="M9" s="125"/>
      <c r="N9" s="134"/>
      <c r="O9" s="136"/>
    </row>
    <row r="10" spans="1:18" s="12" customFormat="1" ht="12.75" customHeight="1">
      <c r="A10" s="154"/>
      <c r="B10" s="156"/>
      <c r="C10" s="134"/>
      <c r="D10" s="137" t="s">
        <v>206</v>
      </c>
      <c r="E10" s="149" t="s">
        <v>11</v>
      </c>
      <c r="F10" s="123">
        <v>45871</v>
      </c>
      <c r="G10" s="123"/>
      <c r="H10" s="123"/>
      <c r="I10" s="135"/>
      <c r="J10" s="134"/>
      <c r="K10" s="134"/>
      <c r="L10" s="134"/>
      <c r="M10" s="125"/>
      <c r="N10" s="134"/>
      <c r="O10" s="136"/>
    </row>
    <row r="11" spans="1:18" s="12" customFormat="1" ht="12.75" customHeight="1">
      <c r="A11" s="154"/>
      <c r="B11" s="156"/>
      <c r="C11" s="134"/>
      <c r="D11" s="137" t="s">
        <v>207</v>
      </c>
      <c r="E11" s="149" t="s">
        <v>11</v>
      </c>
      <c r="F11" s="123">
        <v>45871</v>
      </c>
      <c r="G11" s="123"/>
      <c r="H11" s="123"/>
      <c r="I11" s="135"/>
      <c r="J11" s="134"/>
      <c r="K11" s="134"/>
      <c r="L11" s="134"/>
      <c r="M11" s="125"/>
      <c r="N11" s="134"/>
      <c r="O11" s="136"/>
    </row>
    <row r="12" spans="1:18" s="12" customFormat="1" ht="12.75" customHeight="1">
      <c r="A12" s="154"/>
      <c r="B12" s="156"/>
      <c r="C12" s="134"/>
      <c r="D12" s="138" t="s">
        <v>209</v>
      </c>
      <c r="E12" s="153" t="s">
        <v>46</v>
      </c>
      <c r="F12" s="123">
        <v>45563</v>
      </c>
      <c r="G12" s="123">
        <v>45892</v>
      </c>
      <c r="H12" s="123"/>
      <c r="I12" s="135"/>
      <c r="J12" s="134"/>
      <c r="K12" s="134"/>
      <c r="L12" s="134"/>
      <c r="M12" s="125"/>
      <c r="N12" s="134"/>
      <c r="O12" s="136"/>
    </row>
    <row r="13" spans="1:18" s="12" customFormat="1" ht="12.75" customHeight="1">
      <c r="A13" s="154"/>
      <c r="B13" s="156"/>
      <c r="C13" s="134"/>
      <c r="D13" s="137" t="s">
        <v>208</v>
      </c>
      <c r="E13" s="153" t="s">
        <v>46</v>
      </c>
      <c r="F13" s="123">
        <v>45563</v>
      </c>
      <c r="G13" s="123">
        <v>45892</v>
      </c>
      <c r="H13" s="123"/>
      <c r="I13" s="135"/>
      <c r="J13" s="134"/>
      <c r="K13" s="134"/>
      <c r="L13" s="134"/>
      <c r="M13" s="125"/>
      <c r="N13" s="134"/>
      <c r="O13" s="136"/>
    </row>
    <row r="14" spans="1:18" s="12" customFormat="1" ht="12.75" customHeight="1">
      <c r="A14" s="154"/>
      <c r="B14" s="156"/>
      <c r="C14" s="134"/>
      <c r="D14" s="137" t="s">
        <v>210</v>
      </c>
      <c r="E14" s="149" t="s">
        <v>11</v>
      </c>
      <c r="F14" s="123">
        <v>45591</v>
      </c>
      <c r="G14" s="123"/>
      <c r="H14" s="123"/>
      <c r="I14" s="135"/>
      <c r="J14" s="134"/>
      <c r="K14" s="134"/>
      <c r="L14" s="134"/>
      <c r="M14" s="125"/>
      <c r="N14" s="134"/>
      <c r="O14" s="136"/>
    </row>
    <row r="15" spans="1:18" s="12" customFormat="1" ht="12.75" customHeight="1">
      <c r="A15" s="154"/>
      <c r="B15" s="156"/>
      <c r="C15" s="134"/>
      <c r="D15" s="137" t="s">
        <v>211</v>
      </c>
      <c r="E15" s="149" t="s">
        <v>11</v>
      </c>
      <c r="F15" s="123">
        <v>45591</v>
      </c>
      <c r="G15" s="123"/>
      <c r="H15" s="123"/>
      <c r="I15" s="135"/>
      <c r="J15" s="134"/>
      <c r="K15" s="134"/>
      <c r="L15" s="134"/>
      <c r="M15" s="125"/>
      <c r="N15" s="134"/>
      <c r="O15" s="136"/>
    </row>
    <row r="16" spans="1:18" s="12" customFormat="1" ht="12.75" customHeight="1">
      <c r="A16" s="154"/>
      <c r="B16" s="156"/>
      <c r="C16" s="134"/>
      <c r="D16" s="137" t="s">
        <v>212</v>
      </c>
      <c r="E16" s="149" t="s">
        <v>11</v>
      </c>
      <c r="F16" s="123">
        <v>45591</v>
      </c>
      <c r="G16" s="123"/>
      <c r="H16" s="123"/>
      <c r="I16" s="135"/>
      <c r="J16" s="134"/>
      <c r="K16" s="134"/>
      <c r="L16" s="134"/>
      <c r="M16" s="125"/>
      <c r="N16" s="134"/>
      <c r="O16" s="136"/>
    </row>
    <row r="17" spans="1:15" s="12" customFormat="1" ht="12.75" customHeight="1">
      <c r="A17" s="154"/>
      <c r="B17" s="156"/>
      <c r="C17" s="134"/>
      <c r="D17" s="137" t="s">
        <v>213</v>
      </c>
      <c r="E17" s="149" t="s">
        <v>11</v>
      </c>
      <c r="F17" s="123">
        <v>45591</v>
      </c>
      <c r="G17" s="123"/>
      <c r="H17" s="123"/>
      <c r="I17" s="135"/>
      <c r="J17" s="134"/>
      <c r="K17" s="134"/>
      <c r="L17" s="134"/>
      <c r="M17" s="125"/>
      <c r="N17" s="134"/>
      <c r="O17" s="136"/>
    </row>
    <row r="18" spans="1:15" s="12" customFormat="1" ht="12.75" customHeight="1">
      <c r="A18" s="154"/>
      <c r="B18" s="156"/>
      <c r="C18" s="134"/>
      <c r="D18" s="137" t="s">
        <v>214</v>
      </c>
      <c r="E18" s="149" t="s">
        <v>11</v>
      </c>
      <c r="F18" s="123">
        <v>45591</v>
      </c>
      <c r="G18" s="123"/>
      <c r="H18" s="123"/>
      <c r="I18" s="135"/>
      <c r="J18" s="134"/>
      <c r="K18" s="134"/>
      <c r="L18" s="134"/>
      <c r="M18" s="125"/>
      <c r="N18" s="134"/>
      <c r="O18" s="136"/>
    </row>
    <row r="19" spans="1:15" s="12" customFormat="1" ht="12.75" customHeight="1">
      <c r="A19" s="154"/>
      <c r="B19" s="156"/>
      <c r="C19" s="134"/>
      <c r="D19" s="137" t="s">
        <v>215</v>
      </c>
      <c r="E19" s="149" t="s">
        <v>11</v>
      </c>
      <c r="F19" s="123">
        <v>45558</v>
      </c>
      <c r="G19" s="123"/>
      <c r="H19" s="123"/>
      <c r="I19" s="135"/>
      <c r="J19" s="134"/>
      <c r="K19" s="134"/>
      <c r="L19" s="134"/>
      <c r="M19" s="125"/>
      <c r="N19" s="134"/>
      <c r="O19" s="136"/>
    </row>
    <row r="20" spans="1:15" s="12" customFormat="1" ht="12.75" customHeight="1">
      <c r="A20" s="154"/>
      <c r="B20" s="156"/>
      <c r="C20" s="134"/>
      <c r="D20" s="137" t="s">
        <v>216</v>
      </c>
      <c r="E20" s="149" t="s">
        <v>11</v>
      </c>
      <c r="F20" s="123">
        <v>45591</v>
      </c>
      <c r="G20" s="123"/>
      <c r="H20" s="123"/>
      <c r="I20" s="135"/>
      <c r="J20" s="134"/>
      <c r="K20" s="134"/>
      <c r="L20" s="134"/>
      <c r="M20" s="125"/>
      <c r="N20" s="134"/>
      <c r="O20" s="136"/>
    </row>
    <row r="21" spans="1:15" s="12" customFormat="1" ht="12.75" customHeight="1">
      <c r="A21" s="154"/>
      <c r="B21" s="156"/>
      <c r="C21" s="134"/>
      <c r="D21" s="138" t="s">
        <v>217</v>
      </c>
      <c r="E21" s="149" t="s">
        <v>11</v>
      </c>
      <c r="F21" s="123"/>
      <c r="G21" s="123"/>
      <c r="H21" s="123"/>
      <c r="I21" s="135"/>
      <c r="J21" s="134"/>
      <c r="K21" s="134"/>
      <c r="L21" s="134"/>
      <c r="M21" s="125"/>
      <c r="N21" s="134"/>
      <c r="O21" s="136"/>
    </row>
    <row r="22" spans="1:15" s="12" customFormat="1" ht="12.75" customHeight="1">
      <c r="A22" s="154"/>
      <c r="B22" s="156"/>
      <c r="C22" s="134"/>
      <c r="D22" s="138" t="s">
        <v>218</v>
      </c>
      <c r="E22" s="149" t="s">
        <v>11</v>
      </c>
      <c r="F22" s="123">
        <v>45591</v>
      </c>
      <c r="G22" s="123"/>
      <c r="H22" s="123"/>
      <c r="I22" s="135"/>
      <c r="J22" s="134"/>
      <c r="K22" s="134"/>
      <c r="L22" s="134"/>
      <c r="M22" s="125"/>
      <c r="N22" s="134"/>
      <c r="O22" s="136"/>
    </row>
    <row r="23" spans="1:15" s="12" customFormat="1" ht="12.75" customHeight="1">
      <c r="A23" s="154"/>
      <c r="B23" s="156"/>
      <c r="C23" s="134"/>
      <c r="D23" s="137" t="s">
        <v>219</v>
      </c>
      <c r="E23" s="149" t="s">
        <v>11</v>
      </c>
      <c r="F23" s="123"/>
      <c r="G23" s="123"/>
      <c r="H23" s="123"/>
      <c r="I23" s="135"/>
      <c r="J23" s="134"/>
      <c r="K23" s="134"/>
      <c r="L23" s="134"/>
      <c r="M23" s="125"/>
      <c r="N23" s="134"/>
      <c r="O23" s="136"/>
    </row>
    <row r="24" spans="1:15" s="12" customFormat="1" ht="12.75" customHeight="1">
      <c r="A24" s="154"/>
      <c r="B24" s="156"/>
      <c r="C24" s="134"/>
      <c r="D24" s="137" t="s">
        <v>220</v>
      </c>
      <c r="E24" s="149" t="s">
        <v>11</v>
      </c>
      <c r="F24" s="123"/>
      <c r="G24" s="123"/>
      <c r="H24" s="123"/>
      <c r="I24" s="135"/>
      <c r="J24" s="134"/>
      <c r="K24" s="134"/>
      <c r="L24" s="134"/>
      <c r="M24" s="125"/>
      <c r="N24" s="134"/>
      <c r="O24" s="136"/>
    </row>
    <row r="25" spans="1:15" s="12" customFormat="1" ht="12.75" customHeight="1">
      <c r="A25" s="154"/>
      <c r="B25" s="156"/>
      <c r="C25" s="134"/>
      <c r="D25" s="137" t="s">
        <v>221</v>
      </c>
      <c r="E25" s="149" t="s">
        <v>11</v>
      </c>
      <c r="F25" s="123">
        <v>45591</v>
      </c>
      <c r="G25" s="123"/>
      <c r="H25" s="123"/>
      <c r="I25" s="135"/>
      <c r="J25" s="134"/>
      <c r="K25" s="134"/>
      <c r="L25" s="134"/>
      <c r="M25" s="125"/>
      <c r="N25" s="134"/>
      <c r="O25" s="136"/>
    </row>
    <row r="26" spans="1:15" s="12" customFormat="1" ht="12.75" customHeight="1">
      <c r="A26" s="154"/>
      <c r="B26" s="156"/>
      <c r="C26" s="134"/>
      <c r="D26" s="137" t="s">
        <v>222</v>
      </c>
      <c r="E26" s="149" t="s">
        <v>11</v>
      </c>
      <c r="F26" s="123">
        <v>45591</v>
      </c>
      <c r="G26" s="123"/>
      <c r="H26" s="123"/>
      <c r="I26" s="135"/>
      <c r="J26" s="134"/>
      <c r="K26" s="134"/>
      <c r="L26" s="134"/>
      <c r="M26" s="125"/>
      <c r="N26" s="134"/>
      <c r="O26" s="136"/>
    </row>
    <row r="27" spans="1:15" s="12" customFormat="1" ht="12.75" customHeight="1">
      <c r="A27" s="154"/>
      <c r="B27" s="156"/>
      <c r="C27" s="134"/>
      <c r="D27" s="137" t="s">
        <v>223</v>
      </c>
      <c r="E27" s="149" t="s">
        <v>11</v>
      </c>
      <c r="F27" s="123">
        <v>45563</v>
      </c>
      <c r="G27" s="123"/>
      <c r="H27" s="123"/>
      <c r="I27" s="135"/>
      <c r="J27" s="134"/>
      <c r="K27" s="134"/>
      <c r="L27" s="134"/>
      <c r="M27" s="125"/>
      <c r="N27" s="134"/>
      <c r="O27" s="136"/>
    </row>
    <row r="28" spans="1:15" s="12" customFormat="1" ht="12.75" customHeight="1">
      <c r="A28" s="154"/>
      <c r="B28" s="156"/>
      <c r="C28" s="134"/>
      <c r="D28" s="137" t="s">
        <v>234</v>
      </c>
      <c r="E28" s="149" t="s">
        <v>11</v>
      </c>
      <c r="F28" s="123">
        <v>45563</v>
      </c>
      <c r="G28" s="123"/>
      <c r="H28" s="123"/>
      <c r="I28" s="135"/>
      <c r="J28" s="134"/>
      <c r="K28" s="134"/>
      <c r="L28" s="134"/>
      <c r="M28" s="125"/>
      <c r="N28" s="134"/>
      <c r="O28" s="136"/>
    </row>
    <row r="29" spans="1:15" s="12" customFormat="1" ht="12.75" customHeight="1">
      <c r="A29" s="154"/>
      <c r="B29" s="156"/>
      <c r="C29" s="134"/>
      <c r="D29" s="137" t="s">
        <v>238</v>
      </c>
      <c r="E29" s="149" t="s">
        <v>11</v>
      </c>
      <c r="F29" s="123">
        <v>41116</v>
      </c>
      <c r="G29" s="123"/>
      <c r="H29" s="123"/>
      <c r="I29" s="135"/>
      <c r="J29" s="134"/>
      <c r="K29" s="134"/>
      <c r="L29" s="134"/>
      <c r="M29" s="125"/>
      <c r="N29" s="134"/>
      <c r="O29" s="136"/>
    </row>
    <row r="30" spans="1:15" s="12" customFormat="1" ht="12.75" customHeight="1">
      <c r="A30" s="154"/>
      <c r="B30" s="156"/>
      <c r="C30" s="134"/>
      <c r="D30" s="137" t="s">
        <v>224</v>
      </c>
      <c r="E30" s="149" t="s">
        <v>11</v>
      </c>
      <c r="F30" s="123"/>
      <c r="G30" s="123"/>
      <c r="H30" s="123"/>
      <c r="I30" s="135"/>
      <c r="J30" s="134"/>
      <c r="K30" s="134"/>
      <c r="L30" s="134"/>
      <c r="M30" s="125"/>
      <c r="N30" s="134"/>
      <c r="O30" s="136"/>
    </row>
    <row r="31" spans="1:15" s="12" customFormat="1" ht="12.75" customHeight="1">
      <c r="A31" s="154"/>
      <c r="B31" s="156"/>
      <c r="C31" s="134"/>
      <c r="D31" s="137" t="s">
        <v>225</v>
      </c>
      <c r="E31" s="149" t="s">
        <v>11</v>
      </c>
      <c r="F31" s="123">
        <v>45563</v>
      </c>
      <c r="G31" s="123"/>
      <c r="H31" s="123"/>
      <c r="I31" s="135"/>
      <c r="J31" s="134"/>
      <c r="K31" s="134"/>
      <c r="L31" s="134"/>
      <c r="M31" s="125"/>
      <c r="N31" s="134"/>
      <c r="O31" s="136"/>
    </row>
    <row r="32" spans="1:15" s="12" customFormat="1" ht="12.75" customHeight="1">
      <c r="A32" s="154"/>
      <c r="B32" s="156"/>
      <c r="C32" s="134"/>
      <c r="D32" s="137" t="s">
        <v>239</v>
      </c>
      <c r="E32" s="149" t="s">
        <v>11</v>
      </c>
      <c r="F32" s="123">
        <v>45563</v>
      </c>
      <c r="G32" s="123"/>
      <c r="H32" s="123"/>
      <c r="I32" s="135"/>
      <c r="J32" s="134"/>
      <c r="K32" s="134"/>
      <c r="L32" s="134"/>
      <c r="M32" s="125"/>
      <c r="N32" s="134"/>
      <c r="O32" s="136"/>
    </row>
    <row r="33" spans="1:15" s="12" customFormat="1" ht="12.75" customHeight="1">
      <c r="A33" s="154"/>
      <c r="B33" s="156"/>
      <c r="C33" s="134"/>
      <c r="D33" s="137" t="s">
        <v>226</v>
      </c>
      <c r="E33" s="149" t="s">
        <v>11</v>
      </c>
      <c r="F33" s="123">
        <v>45563</v>
      </c>
      <c r="G33" s="123"/>
      <c r="H33" s="123"/>
      <c r="I33" s="135"/>
      <c r="J33" s="134"/>
      <c r="K33" s="134"/>
      <c r="L33" s="134"/>
      <c r="M33" s="125"/>
      <c r="N33" s="134"/>
      <c r="O33" s="136"/>
    </row>
    <row r="34" spans="1:15" s="12" customFormat="1" ht="12.75" customHeight="1">
      <c r="A34" s="154"/>
      <c r="B34" s="156"/>
      <c r="C34" s="134"/>
      <c r="D34" s="137" t="s">
        <v>240</v>
      </c>
      <c r="E34" s="149" t="s">
        <v>11</v>
      </c>
      <c r="F34" s="123">
        <v>45563</v>
      </c>
      <c r="G34" s="123"/>
      <c r="H34" s="123"/>
      <c r="I34" s="135"/>
      <c r="J34" s="134"/>
      <c r="K34" s="134"/>
      <c r="L34" s="134"/>
      <c r="M34" s="125"/>
      <c r="N34" s="134"/>
      <c r="O34" s="136"/>
    </row>
    <row r="35" spans="1:15" s="12" customFormat="1" ht="12.75" customHeight="1">
      <c r="A35" s="154"/>
      <c r="B35" s="156"/>
      <c r="C35" s="134"/>
      <c r="D35" s="137" t="s">
        <v>227</v>
      </c>
      <c r="E35" s="149" t="s">
        <v>11</v>
      </c>
      <c r="F35" s="123">
        <v>42873</v>
      </c>
      <c r="G35" s="123"/>
      <c r="H35" s="123"/>
      <c r="I35" s="135"/>
      <c r="J35" s="134"/>
      <c r="K35" s="134"/>
      <c r="L35" s="134"/>
      <c r="M35" s="125"/>
      <c r="N35" s="134"/>
      <c r="O35" s="136"/>
    </row>
    <row r="36" spans="1:15" s="12" customFormat="1" ht="12.75" customHeight="1">
      <c r="A36" s="154"/>
      <c r="B36" s="156"/>
      <c r="C36" s="134"/>
      <c r="D36" s="137" t="s">
        <v>235</v>
      </c>
      <c r="E36" s="149" t="s">
        <v>11</v>
      </c>
      <c r="F36" s="123">
        <v>45563</v>
      </c>
      <c r="G36" s="123"/>
      <c r="H36" s="123"/>
      <c r="I36" s="135"/>
      <c r="J36" s="134"/>
      <c r="K36" s="134"/>
      <c r="L36" s="134"/>
      <c r="M36" s="125"/>
      <c r="N36" s="134"/>
      <c r="O36" s="136"/>
    </row>
    <row r="37" spans="1:15" s="12" customFormat="1" ht="12.75" customHeight="1">
      <c r="A37" s="154"/>
      <c r="B37" s="156"/>
      <c r="C37" s="134"/>
      <c r="D37" s="137" t="s">
        <v>228</v>
      </c>
      <c r="E37" s="149" t="s">
        <v>11</v>
      </c>
      <c r="F37" s="123"/>
      <c r="G37" s="123"/>
      <c r="H37" s="123"/>
      <c r="I37" s="135"/>
      <c r="J37" s="134"/>
      <c r="K37" s="134"/>
      <c r="L37" s="134"/>
      <c r="M37" s="125"/>
      <c r="N37" s="134"/>
      <c r="O37" s="136"/>
    </row>
    <row r="38" spans="1:15" s="12" customFormat="1" ht="12.75" customHeight="1">
      <c r="A38" s="154"/>
      <c r="B38" s="156"/>
      <c r="C38" s="134"/>
      <c r="D38" s="137" t="s">
        <v>229</v>
      </c>
      <c r="E38" s="149" t="s">
        <v>11</v>
      </c>
      <c r="F38" s="123"/>
      <c r="G38" s="123"/>
      <c r="H38" s="123"/>
      <c r="I38" s="135"/>
      <c r="J38" s="134"/>
      <c r="K38" s="134"/>
      <c r="L38" s="134"/>
      <c r="M38" s="125"/>
      <c r="N38" s="134"/>
      <c r="O38" s="136"/>
    </row>
    <row r="39" spans="1:15" s="12" customFormat="1" ht="12.75" customHeight="1">
      <c r="A39" s="154"/>
      <c r="B39" s="156"/>
      <c r="C39" s="134"/>
      <c r="D39" s="137" t="s">
        <v>230</v>
      </c>
      <c r="E39" s="149" t="s">
        <v>11</v>
      </c>
      <c r="F39" s="123">
        <v>45591</v>
      </c>
      <c r="G39" s="123"/>
      <c r="H39" s="123"/>
      <c r="I39" s="135"/>
      <c r="J39" s="134"/>
      <c r="K39" s="134"/>
      <c r="L39" s="134"/>
      <c r="M39" s="125"/>
      <c r="N39" s="134"/>
      <c r="O39" s="136"/>
    </row>
    <row r="40" spans="1:15" s="12" customFormat="1" ht="12.75" customHeight="1">
      <c r="A40" s="154"/>
      <c r="B40" s="156"/>
      <c r="C40" s="134"/>
      <c r="D40" s="137" t="s">
        <v>231</v>
      </c>
      <c r="E40" s="149" t="s">
        <v>11</v>
      </c>
      <c r="F40" s="123">
        <v>45591</v>
      </c>
      <c r="G40" s="123"/>
      <c r="H40" s="123"/>
      <c r="I40" s="135"/>
      <c r="J40" s="134"/>
      <c r="K40" s="134"/>
      <c r="L40" s="134"/>
      <c r="M40" s="125"/>
      <c r="N40" s="134"/>
      <c r="O40" s="136"/>
    </row>
    <row r="41" spans="1:15" s="12" customFormat="1" ht="12.75" customHeight="1">
      <c r="A41" s="154"/>
      <c r="B41" s="156"/>
      <c r="C41" s="134"/>
      <c r="D41" s="137" t="s">
        <v>241</v>
      </c>
      <c r="E41" s="149" t="s">
        <v>11</v>
      </c>
      <c r="F41" s="123">
        <v>45591</v>
      </c>
      <c r="G41" s="123"/>
      <c r="H41" s="123"/>
      <c r="I41" s="135"/>
      <c r="J41" s="134"/>
      <c r="K41" s="134"/>
      <c r="L41" s="134"/>
      <c r="M41" s="125"/>
      <c r="N41" s="134"/>
      <c r="O41" s="136"/>
    </row>
    <row r="42" spans="1:15" s="12" customFormat="1" ht="12.75" customHeight="1">
      <c r="A42" s="154"/>
      <c r="B42" s="156"/>
      <c r="C42" s="134"/>
      <c r="D42" s="139" t="s">
        <v>202</v>
      </c>
      <c r="E42" s="149" t="s">
        <v>11</v>
      </c>
      <c r="F42" s="123">
        <v>45563</v>
      </c>
      <c r="G42" s="123"/>
      <c r="H42" s="123"/>
      <c r="I42" s="135"/>
      <c r="J42" s="134"/>
      <c r="K42" s="134"/>
      <c r="L42" s="134"/>
      <c r="M42" s="125"/>
      <c r="N42" s="134"/>
      <c r="O42" s="136"/>
    </row>
    <row r="43" spans="1:15" s="12" customFormat="1" ht="13.2" customHeight="1">
      <c r="A43" s="154"/>
      <c r="B43" s="156"/>
      <c r="C43" s="4" t="s">
        <v>114</v>
      </c>
      <c r="D43" s="6" t="s">
        <v>59</v>
      </c>
      <c r="E43" s="4" t="s">
        <v>11</v>
      </c>
      <c r="F43" s="40">
        <v>43722</v>
      </c>
      <c r="G43" s="58">
        <f ca="1">TODAY()</f>
        <v>46012</v>
      </c>
      <c r="H43" s="56">
        <f ca="1">TODAY()</f>
        <v>46012</v>
      </c>
      <c r="I43" s="4" t="s">
        <v>61</v>
      </c>
      <c r="J43" s="5" t="s">
        <v>60</v>
      </c>
      <c r="K43" s="4" t="s">
        <v>16</v>
      </c>
      <c r="L43" s="4" t="s">
        <v>63</v>
      </c>
      <c r="M43" s="4" t="s">
        <v>69</v>
      </c>
      <c r="N43" s="4" t="s">
        <v>158</v>
      </c>
      <c r="O43" s="22" t="s">
        <v>62</v>
      </c>
    </row>
    <row r="44" spans="1:15" s="12" customFormat="1" ht="12.75" customHeight="1">
      <c r="A44" s="154"/>
      <c r="B44" s="156"/>
      <c r="C44" s="4" t="s">
        <v>114</v>
      </c>
      <c r="D44" s="19" t="s">
        <v>169</v>
      </c>
      <c r="E44" s="146" t="s">
        <v>10</v>
      </c>
      <c r="F44" s="78">
        <v>41923</v>
      </c>
      <c r="G44" s="78">
        <v>41923</v>
      </c>
      <c r="H44" s="78">
        <v>41924</v>
      </c>
      <c r="I44" s="116" t="s">
        <v>175</v>
      </c>
      <c r="J44" s="47" t="s">
        <v>170</v>
      </c>
      <c r="K44" s="116" t="s">
        <v>176</v>
      </c>
      <c r="L44" s="127" t="s">
        <v>171</v>
      </c>
      <c r="M44" s="116" t="s">
        <v>172</v>
      </c>
      <c r="N44" s="128" t="s">
        <v>173</v>
      </c>
      <c r="O44" s="129" t="s">
        <v>174</v>
      </c>
    </row>
    <row r="45" spans="1:15" s="12" customFormat="1" ht="12.75" customHeight="1">
      <c r="A45" s="154"/>
      <c r="B45" s="156"/>
      <c r="C45" s="4"/>
      <c r="D45" s="19" t="s">
        <v>177</v>
      </c>
      <c r="E45" s="151" t="s">
        <v>11</v>
      </c>
      <c r="F45" s="78">
        <v>43666</v>
      </c>
      <c r="G45" s="78"/>
      <c r="H45" s="78"/>
      <c r="I45" s="78" t="s">
        <v>178</v>
      </c>
      <c r="J45" s="118" t="s">
        <v>179</v>
      </c>
      <c r="K45" s="78" t="s">
        <v>16</v>
      </c>
      <c r="L45" s="78" t="s">
        <v>180</v>
      </c>
      <c r="M45" s="78" t="s">
        <v>69</v>
      </c>
      <c r="N45" s="78" t="s">
        <v>182</v>
      </c>
      <c r="O45" s="118" t="s">
        <v>181</v>
      </c>
    </row>
    <row r="46" spans="1:15" s="11" customFormat="1" ht="12.75" customHeight="1">
      <c r="A46" s="154"/>
      <c r="B46" s="156"/>
      <c r="C46" s="4"/>
      <c r="D46" s="6" t="s">
        <v>195</v>
      </c>
      <c r="E46" s="147" t="s">
        <v>10</v>
      </c>
      <c r="F46" s="84">
        <v>41118</v>
      </c>
      <c r="G46" s="83">
        <f>EDATE(F46,18)</f>
        <v>41667</v>
      </c>
      <c r="H46" s="83">
        <f>EDATE(G46,12)</f>
        <v>42032</v>
      </c>
      <c r="I46" s="7" t="s">
        <v>45</v>
      </c>
      <c r="J46" s="9" t="s">
        <v>38</v>
      </c>
      <c r="K46" s="4" t="s">
        <v>16</v>
      </c>
      <c r="L46" s="4" t="s">
        <v>44</v>
      </c>
      <c r="M46" s="18" t="s">
        <v>69</v>
      </c>
      <c r="N46" s="8" t="s">
        <v>194</v>
      </c>
      <c r="O46" s="10" t="s">
        <v>43</v>
      </c>
    </row>
    <row r="47" spans="1:15" s="11" customFormat="1" ht="12.75" customHeight="1">
      <c r="A47" s="154"/>
      <c r="B47" s="156"/>
      <c r="C47" s="50"/>
      <c r="D47" s="19" t="s">
        <v>77</v>
      </c>
      <c r="E47" s="151" t="s">
        <v>11</v>
      </c>
      <c r="F47" s="40">
        <v>44492</v>
      </c>
      <c r="G47" s="40">
        <f>F47+(31*18)</f>
        <v>45050</v>
      </c>
      <c r="H47" s="40">
        <f>G47+366</f>
        <v>45416</v>
      </c>
      <c r="I47" s="7" t="s">
        <v>80</v>
      </c>
      <c r="J47" s="19" t="s">
        <v>74</v>
      </c>
      <c r="K47" s="7" t="s">
        <v>75</v>
      </c>
      <c r="L47" s="7" t="s">
        <v>82</v>
      </c>
      <c r="M47" s="7" t="s">
        <v>69</v>
      </c>
      <c r="N47" s="7" t="s">
        <v>83</v>
      </c>
      <c r="O47" s="19" t="s">
        <v>76</v>
      </c>
    </row>
    <row r="48" spans="1:15" s="11" customFormat="1" ht="12.75" customHeight="1">
      <c r="A48" s="154"/>
      <c r="B48" s="156"/>
      <c r="C48" s="4" t="s">
        <v>157</v>
      </c>
      <c r="D48" s="19" t="s">
        <v>89</v>
      </c>
      <c r="E48" s="150" t="s">
        <v>11</v>
      </c>
      <c r="F48" s="40">
        <v>44953</v>
      </c>
      <c r="G48" s="40">
        <f>F48+(31*18)</f>
        <v>45511</v>
      </c>
      <c r="H48" s="40">
        <f>G48+366</f>
        <v>45877</v>
      </c>
      <c r="I48" s="116" t="s">
        <v>90</v>
      </c>
      <c r="J48" s="19" t="s">
        <v>91</v>
      </c>
      <c r="K48" s="117" t="s">
        <v>92</v>
      </c>
      <c r="L48" s="7" t="s">
        <v>93</v>
      </c>
      <c r="M48" s="18" t="s">
        <v>69</v>
      </c>
      <c r="N48" s="7" t="s">
        <v>159</v>
      </c>
      <c r="O48" s="48" t="s">
        <v>94</v>
      </c>
    </row>
    <row r="49" spans="1:15">
      <c r="A49" s="35"/>
      <c r="B49" s="156"/>
      <c r="C49" s="4"/>
      <c r="D49" s="19" t="s">
        <v>95</v>
      </c>
      <c r="E49" s="151" t="s">
        <v>11</v>
      </c>
      <c r="F49" s="78">
        <v>41116</v>
      </c>
      <c r="G49" s="115"/>
      <c r="H49" s="115"/>
      <c r="I49" s="116" t="s">
        <v>168</v>
      </c>
      <c r="J49" s="118" t="s">
        <v>167</v>
      </c>
      <c r="K49" s="78" t="s">
        <v>16</v>
      </c>
      <c r="L49" s="78" t="s">
        <v>166</v>
      </c>
      <c r="M49" s="78" t="s">
        <v>69</v>
      </c>
      <c r="N49" s="78" t="s">
        <v>165</v>
      </c>
      <c r="O49" s="118" t="s">
        <v>164</v>
      </c>
    </row>
    <row r="50" spans="1:15">
      <c r="A50" s="35"/>
      <c r="B50" s="156"/>
      <c r="C50" s="4"/>
      <c r="D50" s="6" t="s">
        <v>53</v>
      </c>
      <c r="E50" s="147" t="s">
        <v>10</v>
      </c>
      <c r="F50" s="83">
        <v>43331</v>
      </c>
      <c r="G50" s="83">
        <v>43919</v>
      </c>
      <c r="H50" s="83">
        <v>44799</v>
      </c>
      <c r="I50" s="4" t="s">
        <v>56</v>
      </c>
      <c r="J50" s="5" t="s">
        <v>54</v>
      </c>
      <c r="K50" s="4" t="s">
        <v>16</v>
      </c>
      <c r="L50" s="4" t="s">
        <v>55</v>
      </c>
      <c r="M50" s="18" t="s">
        <v>69</v>
      </c>
      <c r="N50" s="4" t="s">
        <v>160</v>
      </c>
      <c r="O50" s="42" t="s">
        <v>72</v>
      </c>
    </row>
    <row r="51" spans="1:15" ht="14.4" customHeight="1">
      <c r="A51" s="35"/>
      <c r="B51" s="156"/>
      <c r="C51" s="4"/>
      <c r="D51" s="19" t="s">
        <v>96</v>
      </c>
      <c r="E51" s="152" t="s">
        <v>11</v>
      </c>
      <c r="F51" s="114" t="s">
        <v>163</v>
      </c>
      <c r="G51" s="115"/>
      <c r="H51" s="115"/>
      <c r="I51" s="116" t="s">
        <v>97</v>
      </c>
      <c r="J51" s="19" t="s">
        <v>98</v>
      </c>
      <c r="K51" s="117" t="s">
        <v>16</v>
      </c>
      <c r="L51" s="7" t="s">
        <v>99</v>
      </c>
      <c r="M51" s="18" t="s">
        <v>69</v>
      </c>
      <c r="N51" s="7" t="s">
        <v>100</v>
      </c>
      <c r="O51" s="48" t="s">
        <v>101</v>
      </c>
    </row>
    <row r="52" spans="1:15" ht="14.4" customHeight="1">
      <c r="A52" s="35"/>
      <c r="B52" s="156"/>
      <c r="C52" s="4" t="s">
        <v>114</v>
      </c>
      <c r="D52" s="19" t="s">
        <v>78</v>
      </c>
      <c r="E52" s="151" t="s">
        <v>11</v>
      </c>
      <c r="F52" s="40">
        <v>44492</v>
      </c>
      <c r="G52" s="40">
        <f>F52+(31*18)</f>
        <v>45050</v>
      </c>
      <c r="H52" s="40">
        <f>G52+366</f>
        <v>45416</v>
      </c>
      <c r="I52" s="7" t="s">
        <v>81</v>
      </c>
      <c r="J52" s="19" t="s">
        <v>190</v>
      </c>
      <c r="K52" s="7" t="s">
        <v>16</v>
      </c>
      <c r="L52" s="7" t="s">
        <v>191</v>
      </c>
      <c r="M52" s="7" t="s">
        <v>69</v>
      </c>
      <c r="N52" s="7" t="s">
        <v>84</v>
      </c>
      <c r="O52" s="19" t="s">
        <v>79</v>
      </c>
    </row>
    <row r="53" spans="1:15" ht="14.4" customHeight="1">
      <c r="A53" s="35"/>
      <c r="B53" s="157"/>
      <c r="C53" s="4" t="s">
        <v>114</v>
      </c>
      <c r="D53" s="6" t="s">
        <v>39</v>
      </c>
      <c r="E53" s="148" t="s">
        <v>10</v>
      </c>
      <c r="F53" s="83">
        <v>42936</v>
      </c>
      <c r="G53" s="83">
        <v>43798</v>
      </c>
      <c r="H53" s="83">
        <v>44799</v>
      </c>
      <c r="I53" s="4" t="s">
        <v>40</v>
      </c>
      <c r="J53" s="5" t="s">
        <v>192</v>
      </c>
      <c r="K53" s="4" t="s">
        <v>16</v>
      </c>
      <c r="L53" s="4" t="s">
        <v>193</v>
      </c>
      <c r="M53" s="18" t="s">
        <v>69</v>
      </c>
      <c r="N53" s="4" t="s">
        <v>161</v>
      </c>
      <c r="O53" s="10" t="s">
        <v>41</v>
      </c>
    </row>
    <row r="54" spans="1:15">
      <c r="A54" s="131"/>
      <c r="B54" s="132"/>
      <c r="C54" s="4" t="s">
        <v>114</v>
      </c>
      <c r="D54" s="6" t="s">
        <v>57</v>
      </c>
      <c r="E54" s="147" t="s">
        <v>10</v>
      </c>
      <c r="F54" s="83">
        <v>43331</v>
      </c>
      <c r="G54" s="83">
        <v>43919</v>
      </c>
      <c r="H54" s="83">
        <v>44799</v>
      </c>
      <c r="I54" s="4" t="s">
        <v>50</v>
      </c>
      <c r="J54" s="5" t="s">
        <v>48</v>
      </c>
      <c r="K54" s="4" t="s">
        <v>16</v>
      </c>
      <c r="L54" s="4" t="s">
        <v>49</v>
      </c>
      <c r="M54" s="18" t="s">
        <v>69</v>
      </c>
      <c r="N54" s="4" t="s">
        <v>162</v>
      </c>
      <c r="O54" s="22" t="s">
        <v>52</v>
      </c>
    </row>
    <row r="55" spans="1:15">
      <c r="B55" s="132"/>
      <c r="C55" s="50" t="s">
        <v>156</v>
      </c>
      <c r="D55" s="6" t="s">
        <v>6</v>
      </c>
      <c r="E55" s="147" t="s">
        <v>10</v>
      </c>
      <c r="F55" s="83">
        <v>42133</v>
      </c>
      <c r="G55" s="83">
        <f>EDATE(F55,18)</f>
        <v>42683</v>
      </c>
      <c r="H55" s="83">
        <f>EDATE(G55,12)</f>
        <v>43048</v>
      </c>
      <c r="I55" s="7" t="s">
        <v>32</v>
      </c>
      <c r="J55" s="5" t="s">
        <v>12</v>
      </c>
      <c r="K55" s="4" t="s">
        <v>16</v>
      </c>
      <c r="L55" s="24" t="s">
        <v>17</v>
      </c>
      <c r="M55" s="18" t="s">
        <v>69</v>
      </c>
      <c r="N55" s="25" t="s">
        <v>31</v>
      </c>
      <c r="O55" s="130" t="s">
        <v>21</v>
      </c>
    </row>
    <row r="56" spans="1:15">
      <c r="B56" s="132"/>
      <c r="C56" s="4"/>
      <c r="D56" s="6" t="s">
        <v>184</v>
      </c>
      <c r="E56" s="151" t="s">
        <v>11</v>
      </c>
      <c r="F56" s="40"/>
      <c r="G56" s="56">
        <f t="shared" ref="G56:H56" ca="1" si="0">TODAY()</f>
        <v>46012</v>
      </c>
      <c r="H56" s="56">
        <f t="shared" ca="1" si="0"/>
        <v>46012</v>
      </c>
      <c r="I56" s="20" t="s">
        <v>185</v>
      </c>
      <c r="J56" s="133" t="s">
        <v>186</v>
      </c>
      <c r="K56" s="20" t="s">
        <v>16</v>
      </c>
      <c r="L56" s="20" t="s">
        <v>187</v>
      </c>
      <c r="M56" s="18" t="s">
        <v>69</v>
      </c>
      <c r="N56" s="20" t="s">
        <v>188</v>
      </c>
      <c r="O56" s="133" t="s">
        <v>189</v>
      </c>
    </row>
    <row r="57" spans="1:15">
      <c r="A57" s="26"/>
      <c r="B57" s="6"/>
      <c r="C57" s="16"/>
      <c r="D57" s="45"/>
      <c r="E57" s="16"/>
      <c r="F57" s="68"/>
      <c r="G57" s="62"/>
      <c r="H57" s="62"/>
      <c r="I57" s="16"/>
      <c r="J57" s="11"/>
      <c r="K57" s="16"/>
      <c r="L57" s="16"/>
      <c r="M57" s="39"/>
      <c r="N57" s="16"/>
      <c r="O57" s="11"/>
    </row>
    <row r="58" spans="1:15" s="12" customFormat="1" ht="12.75" customHeight="1">
      <c r="A58" s="17"/>
      <c r="B58" s="6"/>
      <c r="C58" s="16"/>
      <c r="D58" s="45"/>
      <c r="E58" s="16"/>
      <c r="F58" s="68"/>
      <c r="G58" s="62"/>
      <c r="H58" s="62"/>
      <c r="I58" s="16"/>
      <c r="J58" s="11"/>
      <c r="K58" s="16"/>
      <c r="L58" s="16"/>
      <c r="M58" s="39"/>
      <c r="N58" s="16"/>
      <c r="O58" s="11"/>
    </row>
    <row r="59" spans="1:15" s="12" customFormat="1" ht="12.75" customHeight="1">
      <c r="A59" s="26"/>
      <c r="B59" s="6"/>
      <c r="C59" s="2"/>
      <c r="D59" s="36"/>
      <c r="E59" s="37"/>
      <c r="F59" s="37"/>
      <c r="G59" s="37"/>
      <c r="H59" s="37"/>
      <c r="I59" s="37"/>
      <c r="J59" s="36"/>
      <c r="K59" s="38"/>
      <c r="L59" s="37"/>
      <c r="M59" s="39"/>
      <c r="N59" s="37"/>
      <c r="O59" s="36"/>
    </row>
    <row r="60" spans="1:15" ht="15.6">
      <c r="B60" s="45"/>
      <c r="C60" s="65" t="s">
        <v>196</v>
      </c>
      <c r="D60" s="65"/>
      <c r="E60" s="65"/>
      <c r="F60" s="65"/>
      <c r="G60" s="65"/>
      <c r="H60" s="65"/>
      <c r="I60" s="37"/>
      <c r="J60" s="36"/>
      <c r="K60" s="38"/>
      <c r="L60" s="37"/>
      <c r="M60" s="39"/>
      <c r="N60" s="37"/>
      <c r="O60" s="36"/>
    </row>
    <row r="61" spans="1:15">
      <c r="B61" s="45"/>
      <c r="C61" s="13" t="s">
        <v>65</v>
      </c>
      <c r="D61" s="23" t="s">
        <v>67</v>
      </c>
      <c r="E61" s="43" t="s">
        <v>73</v>
      </c>
      <c r="F61" s="40" t="s">
        <v>11</v>
      </c>
      <c r="G61" s="59" t="s">
        <v>46</v>
      </c>
      <c r="H61" s="49" t="s">
        <v>10</v>
      </c>
      <c r="I61" s="37"/>
      <c r="J61" s="36"/>
      <c r="K61" s="38"/>
      <c r="L61" s="37"/>
      <c r="M61" s="39"/>
      <c r="N61" s="37"/>
      <c r="O61" s="36"/>
    </row>
    <row r="62" spans="1:15">
      <c r="B62" s="45"/>
      <c r="C62" s="20" t="s">
        <v>24</v>
      </c>
      <c r="D62" s="6" t="s">
        <v>9</v>
      </c>
      <c r="E62" s="147" t="s">
        <v>10</v>
      </c>
      <c r="F62" s="41">
        <v>41440</v>
      </c>
      <c r="G62" s="40">
        <f>EDATE(F62,18)</f>
        <v>41988</v>
      </c>
      <c r="H62" s="40">
        <f>EDATE(G62,12)</f>
        <v>42353</v>
      </c>
      <c r="I62" s="7" t="s">
        <v>34</v>
      </c>
      <c r="J62" s="90" t="s">
        <v>15</v>
      </c>
      <c r="K62" s="4" t="s">
        <v>16</v>
      </c>
      <c r="L62" s="4" t="s">
        <v>20</v>
      </c>
      <c r="M62" s="18" t="s">
        <v>69</v>
      </c>
      <c r="N62" s="4" t="s">
        <v>51</v>
      </c>
      <c r="O62" s="42" t="s">
        <v>70</v>
      </c>
    </row>
    <row r="63" spans="1:15">
      <c r="B63" s="45"/>
      <c r="C63" s="20" t="s">
        <v>24</v>
      </c>
      <c r="D63" s="6" t="s">
        <v>7</v>
      </c>
      <c r="E63" s="147" t="s">
        <v>10</v>
      </c>
      <c r="F63" s="41">
        <v>42133</v>
      </c>
      <c r="G63" s="58">
        <f>EDATE(F63,18)</f>
        <v>42683</v>
      </c>
      <c r="H63" s="58">
        <f>EDATE(G63,12)</f>
        <v>43048</v>
      </c>
      <c r="I63" s="7" t="s">
        <v>37</v>
      </c>
      <c r="J63" s="5" t="s">
        <v>13</v>
      </c>
      <c r="K63" s="4" t="s">
        <v>16</v>
      </c>
      <c r="L63" s="4" t="s">
        <v>18</v>
      </c>
      <c r="M63" s="18" t="s">
        <v>69</v>
      </c>
      <c r="N63" s="4" t="s">
        <v>30</v>
      </c>
      <c r="O63" s="5" t="s">
        <v>22</v>
      </c>
    </row>
    <row r="64" spans="1:15">
      <c r="B64" s="45"/>
      <c r="C64" s="20" t="s">
        <v>24</v>
      </c>
      <c r="D64" s="6" t="s">
        <v>8</v>
      </c>
      <c r="E64" s="147" t="s">
        <v>10</v>
      </c>
      <c r="F64" s="40">
        <v>41440</v>
      </c>
      <c r="G64" s="58">
        <v>41545</v>
      </c>
      <c r="H64" s="58">
        <v>41546</v>
      </c>
      <c r="I64" s="20" t="s">
        <v>33</v>
      </c>
      <c r="J64" s="21" t="s">
        <v>14</v>
      </c>
      <c r="K64" s="20" t="s">
        <v>16</v>
      </c>
      <c r="L64" s="20" t="s">
        <v>19</v>
      </c>
      <c r="M64" s="18" t="s">
        <v>69</v>
      </c>
      <c r="N64" s="20" t="s">
        <v>23</v>
      </c>
      <c r="O64" s="28" t="s">
        <v>58</v>
      </c>
    </row>
    <row r="65" spans="2:15">
      <c r="B65" s="45"/>
      <c r="C65" s="20" t="s">
        <v>24</v>
      </c>
      <c r="D65" s="6" t="s">
        <v>25</v>
      </c>
      <c r="E65" s="147" t="s">
        <v>10</v>
      </c>
      <c r="F65" s="40">
        <v>42231</v>
      </c>
      <c r="G65" s="58">
        <v>42476</v>
      </c>
      <c r="H65" s="58">
        <v>42476</v>
      </c>
      <c r="I65" s="7" t="s">
        <v>35</v>
      </c>
      <c r="J65" s="5" t="s">
        <v>36</v>
      </c>
      <c r="K65" s="4" t="s">
        <v>16</v>
      </c>
      <c r="L65" s="24" t="s">
        <v>28</v>
      </c>
      <c r="M65" s="18" t="s">
        <v>69</v>
      </c>
      <c r="N65" s="25" t="s">
        <v>42</v>
      </c>
      <c r="O65" s="91" t="s">
        <v>29</v>
      </c>
    </row>
    <row r="66" spans="2:15" ht="13.8">
      <c r="B66" s="45"/>
      <c r="C66" s="16"/>
      <c r="D66" s="36"/>
      <c r="E66" s="16"/>
      <c r="F66" s="68"/>
      <c r="G66" s="68"/>
      <c r="H66" s="68"/>
      <c r="I66" s="37"/>
      <c r="J66" s="36"/>
      <c r="K66" s="37"/>
      <c r="L66" s="37"/>
      <c r="M66" s="37"/>
      <c r="N66" s="37"/>
      <c r="O66" s="36"/>
    </row>
    <row r="67" spans="2:15" ht="13.8">
      <c r="B67" s="45"/>
      <c r="C67" s="16"/>
      <c r="D67" s="36"/>
      <c r="E67" s="16"/>
      <c r="F67" s="68"/>
      <c r="G67" s="68"/>
      <c r="H67" s="68"/>
      <c r="I67" s="37"/>
      <c r="J67" s="36"/>
      <c r="K67" s="37"/>
      <c r="L67" s="37"/>
      <c r="M67" s="37"/>
      <c r="N67" s="37"/>
      <c r="O67" s="36"/>
    </row>
    <row r="68" spans="2:15">
      <c r="B68" s="45"/>
      <c r="C68" s="16"/>
      <c r="D68" s="45"/>
      <c r="E68" s="16"/>
      <c r="F68" s="67"/>
      <c r="G68" s="68"/>
      <c r="H68" s="68"/>
      <c r="I68" s="37"/>
      <c r="J68" s="69"/>
      <c r="K68" s="16"/>
      <c r="L68" s="16"/>
      <c r="M68" s="39"/>
      <c r="N68" s="16"/>
      <c r="O68" s="70"/>
    </row>
    <row r="69" spans="2:15">
      <c r="B69" s="45"/>
      <c r="C69" s="96" t="s">
        <v>151</v>
      </c>
      <c r="D69" s="45"/>
      <c r="E69" s="16"/>
      <c r="F69" s="67"/>
      <c r="G69" s="68"/>
      <c r="H69" s="68"/>
      <c r="I69" s="37"/>
      <c r="J69" s="69"/>
      <c r="K69" s="16"/>
      <c r="L69" s="16"/>
      <c r="M69" s="39"/>
      <c r="N69" s="16"/>
      <c r="O69" s="70"/>
    </row>
    <row r="70" spans="2:15">
      <c r="B70" s="45"/>
      <c r="C70" s="37" t="s">
        <v>85</v>
      </c>
      <c r="D70" s="36" t="s">
        <v>102</v>
      </c>
      <c r="E70" s="16"/>
      <c r="G70" s="2"/>
      <c r="I70" s="52" t="s">
        <v>103</v>
      </c>
      <c r="J70" s="36" t="s">
        <v>104</v>
      </c>
      <c r="K70" s="38" t="s">
        <v>16</v>
      </c>
      <c r="L70" s="37" t="s">
        <v>105</v>
      </c>
      <c r="M70" s="39" t="s">
        <v>69</v>
      </c>
      <c r="N70" s="37" t="s">
        <v>106</v>
      </c>
      <c r="O70" s="55" t="s">
        <v>107</v>
      </c>
    </row>
    <row r="71" spans="2:15">
      <c r="B71" s="45"/>
      <c r="C71" s="37" t="s">
        <v>85</v>
      </c>
      <c r="D71" s="36" t="s">
        <v>108</v>
      </c>
      <c r="E71" s="16"/>
      <c r="G71" s="2"/>
      <c r="I71" s="52" t="s">
        <v>109</v>
      </c>
      <c r="J71" s="36" t="s">
        <v>110</v>
      </c>
      <c r="K71" s="38" t="s">
        <v>16</v>
      </c>
      <c r="L71" s="37" t="s">
        <v>111</v>
      </c>
      <c r="M71" s="39" t="s">
        <v>69</v>
      </c>
      <c r="N71" s="37" t="s">
        <v>112</v>
      </c>
      <c r="O71" s="55" t="s">
        <v>113</v>
      </c>
    </row>
    <row r="72" spans="2:15">
      <c r="B72" s="45"/>
      <c r="C72" s="66"/>
      <c r="D72" s="45"/>
      <c r="E72" s="16"/>
      <c r="F72" s="112"/>
      <c r="G72" s="68"/>
      <c r="H72" s="68"/>
      <c r="I72" s="37"/>
      <c r="J72" s="69"/>
      <c r="K72" s="16"/>
      <c r="L72" s="16"/>
      <c r="M72" s="39"/>
      <c r="N72" s="16"/>
      <c r="O72" s="70"/>
    </row>
    <row r="73" spans="2:15" ht="13.8">
      <c r="B73" s="45"/>
      <c r="C73" s="99" t="s">
        <v>154</v>
      </c>
      <c r="D73" s="17"/>
      <c r="E73" s="17"/>
      <c r="F73" s="113"/>
      <c r="H73" s="17"/>
      <c r="I73" s="17"/>
      <c r="J73" s="17"/>
      <c r="K73" s="17"/>
      <c r="L73" s="17"/>
      <c r="M73" s="17"/>
      <c r="N73" s="17"/>
      <c r="O73" s="17"/>
    </row>
    <row r="74" spans="2:15">
      <c r="B74" s="45"/>
      <c r="C74" s="61"/>
      <c r="D74" s="51"/>
      <c r="E74" s="61"/>
      <c r="F74" s="100"/>
      <c r="G74" s="62"/>
      <c r="H74" s="62"/>
      <c r="I74" s="52"/>
      <c r="J74" s="51"/>
      <c r="K74" s="38"/>
      <c r="L74" s="52"/>
      <c r="M74" s="39"/>
      <c r="N74" s="52"/>
      <c r="O74" s="63"/>
    </row>
    <row r="75" spans="2:15">
      <c r="B75" s="45"/>
      <c r="C75" s="61"/>
      <c r="D75" s="51"/>
      <c r="E75" s="61"/>
      <c r="F75" s="100"/>
      <c r="G75" s="62"/>
      <c r="H75" s="62"/>
      <c r="I75" s="52"/>
      <c r="J75" s="51"/>
      <c r="K75" s="53"/>
      <c r="L75" s="52"/>
      <c r="M75" s="54"/>
      <c r="N75" s="52"/>
      <c r="O75" s="63"/>
    </row>
    <row r="76" spans="2:15">
      <c r="C76" s="61"/>
      <c r="D76" s="51"/>
      <c r="E76" s="61"/>
      <c r="F76" s="100"/>
      <c r="G76" s="62"/>
      <c r="H76" s="62"/>
      <c r="I76" s="52"/>
      <c r="J76" s="51"/>
      <c r="K76" s="53"/>
      <c r="L76" s="52"/>
      <c r="M76" s="54"/>
      <c r="N76" s="52"/>
      <c r="O76" s="63"/>
    </row>
    <row r="77" spans="2:15">
      <c r="B77" s="45"/>
      <c r="C77" s="61"/>
      <c r="D77" s="51"/>
      <c r="E77" s="61"/>
      <c r="F77" s="100"/>
      <c r="G77" s="62"/>
      <c r="H77" s="62"/>
      <c r="I77" s="52"/>
      <c r="J77" s="51"/>
      <c r="K77" s="53"/>
      <c r="L77" s="52"/>
      <c r="M77" s="54"/>
      <c r="N77" s="52"/>
      <c r="O77" s="63"/>
    </row>
    <row r="78" spans="2:15">
      <c r="B78" s="45"/>
      <c r="C78" s="61"/>
      <c r="D78" s="51"/>
      <c r="E78" s="61"/>
      <c r="F78" s="100"/>
      <c r="G78" s="62"/>
      <c r="H78" s="62"/>
      <c r="I78" s="52"/>
      <c r="J78" s="51"/>
      <c r="K78" s="53"/>
      <c r="L78" s="52"/>
      <c r="M78" s="54"/>
      <c r="N78" s="52"/>
      <c r="O78" s="63"/>
    </row>
    <row r="79" spans="2:15" ht="13.8">
      <c r="B79" s="45"/>
      <c r="C79" s="96" t="s">
        <v>155</v>
      </c>
      <c r="D79" s="17"/>
      <c r="E79" s="17"/>
      <c r="F79" s="113"/>
      <c r="H79" s="17"/>
      <c r="I79" s="17"/>
      <c r="J79" s="17"/>
      <c r="K79" s="17"/>
      <c r="L79" s="17"/>
      <c r="M79" s="17"/>
      <c r="N79" s="37"/>
      <c r="O79" s="17"/>
    </row>
    <row r="80" spans="2:15" s="36" customFormat="1" ht="13.8">
      <c r="C80" s="3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3:15" ht="13.8">
      <c r="C81" s="37"/>
      <c r="D81" s="17"/>
      <c r="E81" s="17"/>
      <c r="F81" s="17"/>
      <c r="H81" s="17"/>
      <c r="I81" s="17"/>
      <c r="J81" s="17"/>
      <c r="K81" s="17"/>
      <c r="L81" s="17"/>
      <c r="M81" s="17"/>
      <c r="N81" s="17"/>
      <c r="O81" s="17"/>
    </row>
    <row r="82" spans="3:15" ht="13.8"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spans="3:15">
      <c r="C83" s="61"/>
      <c r="D83" s="51"/>
      <c r="E83" s="61"/>
      <c r="F83" s="100"/>
      <c r="G83" s="62"/>
      <c r="H83" s="62"/>
      <c r="I83" s="52"/>
      <c r="J83" s="51"/>
      <c r="K83" s="53"/>
      <c r="L83" s="52"/>
      <c r="M83" s="54"/>
      <c r="N83" s="52"/>
      <c r="O83" s="63"/>
    </row>
    <row r="84" spans="3:15">
      <c r="C84" s="61"/>
      <c r="D84" s="17"/>
      <c r="E84" s="17"/>
      <c r="F84" s="17"/>
      <c r="H84" s="62"/>
      <c r="I84" s="52"/>
      <c r="J84" s="51"/>
      <c r="K84" s="53"/>
      <c r="L84" s="52"/>
      <c r="M84" s="54"/>
      <c r="N84" s="52"/>
      <c r="O84" s="63"/>
    </row>
  </sheetData>
  <sortState ref="C4:O16">
    <sortCondition ref="D4:D16"/>
  </sortState>
  <mergeCells count="3">
    <mergeCell ref="A3:A48"/>
    <mergeCell ref="A1:O1"/>
    <mergeCell ref="B4:B53"/>
  </mergeCells>
  <conditionalFormatting sqref="F62:F64">
    <cfRule type="cellIs" dxfId="2" priority="94" operator="greaterThan">
      <formula>#REF!</formula>
    </cfRule>
  </conditionalFormatting>
  <conditionalFormatting sqref="G51 G62:G65 G74:G78">
    <cfRule type="cellIs" dxfId="1" priority="13" operator="greaterThan">
      <formula>F51+558</formula>
    </cfRule>
  </conditionalFormatting>
  <conditionalFormatting sqref="G56:G58">
    <cfRule type="cellIs" dxfId="0" priority="1" operator="greaterThan">
      <formula>F56+558</formula>
    </cfRule>
  </conditionalFormatting>
  <hyperlinks>
    <hyperlink ref="O55" r:id="rId1"/>
    <hyperlink ref="O63" r:id="rId2"/>
    <hyperlink ref="O62" r:id="rId3"/>
    <hyperlink ref="O65" r:id="rId4"/>
    <hyperlink ref="O46" r:id="rId5"/>
    <hyperlink ref="O54" r:id="rId6"/>
    <hyperlink ref="O64" r:id="rId7"/>
    <hyperlink ref="O43" r:id="rId8"/>
    <hyperlink ref="O50" r:id="rId9"/>
    <hyperlink ref="O47" r:id="rId10"/>
    <hyperlink ref="O52" r:id="rId11"/>
    <hyperlink ref="O48" r:id="rId12"/>
    <hyperlink ref="O51" r:id="rId13"/>
    <hyperlink ref="O70" r:id="rId14"/>
    <hyperlink ref="O71" r:id="rId15"/>
    <hyperlink ref="O44" r:id="rId16"/>
    <hyperlink ref="O45" r:id="rId17"/>
    <hyperlink ref="O56" r:id="rId18"/>
    <hyperlink ref="O53" r:id="rId19"/>
    <hyperlink ref="O4" r:id="rId20"/>
  </hyperlinks>
  <printOptions horizontalCentered="1" verticalCentered="1"/>
  <pageMargins left="0" right="0" top="0.39370078740157483" bottom="0.39370078740157483" header="0" footer="0"/>
  <pageSetup paperSize="9" scale="45" orientation="landscape" horizontalDpi="300" verticalDpi="300" r:id="rId21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topLeftCell="A12" workbookViewId="0">
      <selection activeCell="A33" sqref="A33:XFD33"/>
    </sheetView>
  </sheetViews>
  <sheetFormatPr defaultRowHeight="13.8"/>
  <cols>
    <col min="1" max="1" width="36.3984375" customWidth="1"/>
    <col min="2" max="2" width="21.8984375" style="103" customWidth="1"/>
    <col min="3" max="3" width="19.8984375" style="103" customWidth="1"/>
    <col min="4" max="4" width="24.8984375" style="103" customWidth="1"/>
    <col min="5" max="5" width="27.3984375" style="103" customWidth="1"/>
  </cols>
  <sheetData>
    <row r="1" spans="1:10" ht="17.399999999999999">
      <c r="A1" s="158" t="s">
        <v>145</v>
      </c>
      <c r="B1" s="158"/>
      <c r="C1" s="158"/>
      <c r="D1" s="158"/>
      <c r="E1" s="158"/>
      <c r="F1" s="158"/>
      <c r="G1" s="158"/>
      <c r="H1" s="158"/>
      <c r="I1" s="158"/>
      <c r="J1" s="158"/>
    </row>
    <row r="2" spans="1:10" ht="17.399999999999999">
      <c r="A2" s="158" t="s">
        <v>144</v>
      </c>
      <c r="B2" s="158"/>
      <c r="C2" s="158"/>
      <c r="D2" s="158"/>
      <c r="E2" s="158"/>
      <c r="F2" s="158"/>
      <c r="G2" s="158"/>
      <c r="H2" s="158"/>
      <c r="I2" s="158"/>
      <c r="J2" s="158"/>
    </row>
    <row r="3" spans="1:10" ht="17.399999999999999">
      <c r="A3" s="86"/>
      <c r="B3" s="101"/>
      <c r="C3" s="101"/>
      <c r="D3" s="101"/>
      <c r="E3" s="101"/>
      <c r="F3" s="86"/>
      <c r="G3" s="86"/>
      <c r="H3" s="86"/>
      <c r="I3" s="86"/>
      <c r="J3" s="86"/>
    </row>
    <row r="4" spans="1:10" ht="17.399999999999999">
      <c r="A4" s="158" t="s">
        <v>150</v>
      </c>
      <c r="B4" s="158"/>
      <c r="C4" s="158"/>
      <c r="D4" s="158"/>
      <c r="E4" s="158"/>
      <c r="F4" s="158"/>
      <c r="G4" s="158"/>
      <c r="H4" s="158"/>
      <c r="I4" s="158"/>
      <c r="J4" s="158"/>
    </row>
    <row r="6" spans="1:10" ht="14.4">
      <c r="A6" s="80" t="s">
        <v>116</v>
      </c>
      <c r="B6" s="102"/>
      <c r="C6" s="102"/>
    </row>
    <row r="7" spans="1:10" ht="14.4">
      <c r="A7" s="71"/>
      <c r="B7" s="104"/>
      <c r="C7" s="104"/>
    </row>
    <row r="8" spans="1:10" ht="14.4">
      <c r="A8" s="51"/>
      <c r="B8" s="104"/>
      <c r="C8" s="104"/>
    </row>
    <row r="9" spans="1:10" ht="14.4">
      <c r="A9" s="51"/>
      <c r="B9" s="104"/>
      <c r="C9" s="104"/>
    </row>
    <row r="10" spans="1:10" ht="14.4">
      <c r="A10" s="51"/>
      <c r="B10" s="104"/>
      <c r="C10" s="104"/>
    </row>
    <row r="11" spans="1:10" ht="14.4">
      <c r="A11" s="71"/>
      <c r="B11" s="104"/>
      <c r="C11" s="104"/>
    </row>
    <row r="12" spans="1:10" ht="14.4">
      <c r="A12" s="71"/>
      <c r="B12" s="105"/>
      <c r="C12" s="105"/>
      <c r="D12" s="106"/>
      <c r="E12" s="106"/>
    </row>
    <row r="13" spans="1:10" ht="14.4">
      <c r="A13" s="80" t="s">
        <v>139</v>
      </c>
      <c r="B13" s="105"/>
      <c r="C13" s="105"/>
      <c r="D13" s="106"/>
      <c r="E13" s="106"/>
    </row>
    <row r="14" spans="1:10" ht="14.4">
      <c r="A14" s="71"/>
      <c r="B14" s="105"/>
      <c r="C14" s="105"/>
      <c r="D14" s="106"/>
      <c r="E14" s="106"/>
    </row>
    <row r="15" spans="1:10" ht="14.4">
      <c r="A15" s="71"/>
      <c r="B15" s="107" t="s">
        <v>140</v>
      </c>
      <c r="C15" s="107" t="s">
        <v>141</v>
      </c>
      <c r="D15" s="107" t="s">
        <v>142</v>
      </c>
      <c r="E15" s="107" t="s">
        <v>143</v>
      </c>
    </row>
    <row r="16" spans="1:10">
      <c r="A16" s="75"/>
      <c r="B16" s="85"/>
      <c r="C16" s="108"/>
      <c r="D16" s="108"/>
      <c r="E16" s="109"/>
    </row>
    <row r="17" spans="1:5">
      <c r="A17" s="75"/>
      <c r="B17" s="85"/>
      <c r="C17" s="108"/>
      <c r="D17" s="108"/>
      <c r="E17" s="109"/>
    </row>
    <row r="18" spans="1:5">
      <c r="A18" s="75"/>
      <c r="B18" s="85"/>
      <c r="C18" s="108"/>
      <c r="D18" s="108"/>
      <c r="E18" s="109"/>
    </row>
    <row r="19" spans="1:5">
      <c r="A19" s="75"/>
      <c r="B19" s="85"/>
      <c r="C19" s="108"/>
      <c r="D19" s="108"/>
      <c r="E19" s="109"/>
    </row>
    <row r="20" spans="1:5">
      <c r="A20" s="75"/>
      <c r="B20" s="85"/>
      <c r="C20" s="108"/>
      <c r="D20" s="108"/>
      <c r="E20" s="109"/>
    </row>
    <row r="21" spans="1:5">
      <c r="A21" s="77"/>
      <c r="B21" s="85"/>
      <c r="C21" s="108"/>
      <c r="D21" s="108"/>
      <c r="E21" s="109"/>
    </row>
    <row r="22" spans="1:5">
      <c r="A22" s="75"/>
      <c r="B22" s="85"/>
      <c r="C22" s="108"/>
      <c r="D22" s="108"/>
      <c r="E22" s="109"/>
    </row>
    <row r="23" spans="1:5" ht="14.4">
      <c r="A23" s="71"/>
      <c r="B23" s="110"/>
      <c r="C23" s="110"/>
    </row>
    <row r="24" spans="1:5" ht="14.4">
      <c r="A24" s="80" t="s">
        <v>115</v>
      </c>
      <c r="B24" s="111"/>
      <c r="C24" s="111"/>
    </row>
    <row r="25" spans="1:5" ht="14.4">
      <c r="A25" s="71" t="s">
        <v>121</v>
      </c>
      <c r="B25" s="110"/>
      <c r="C25" s="110"/>
    </row>
    <row r="26" spans="1:5" ht="14.4">
      <c r="A26" s="71" t="s">
        <v>122</v>
      </c>
      <c r="B26" s="110"/>
      <c r="C26" s="110"/>
    </row>
    <row r="27" spans="1:5" ht="14.4">
      <c r="A27" s="71" t="s">
        <v>123</v>
      </c>
      <c r="B27" s="110"/>
      <c r="C27" s="110"/>
    </row>
    <row r="28" spans="1:5" ht="14.4">
      <c r="A28" s="71" t="s">
        <v>128</v>
      </c>
      <c r="B28" s="110"/>
      <c r="C28" s="110"/>
    </row>
    <row r="29" spans="1:5" ht="14.4">
      <c r="A29" s="71" t="s">
        <v>124</v>
      </c>
    </row>
    <row r="30" spans="1:5" ht="14.4">
      <c r="A30" s="71" t="s">
        <v>125</v>
      </c>
    </row>
    <row r="31" spans="1:5" ht="14.4">
      <c r="A31" s="71" t="s">
        <v>137</v>
      </c>
    </row>
    <row r="32" spans="1:5" ht="14.4">
      <c r="A32" s="71" t="s">
        <v>138</v>
      </c>
    </row>
  </sheetData>
  <mergeCells count="3">
    <mergeCell ref="A1:J1"/>
    <mergeCell ref="A2:J2"/>
    <mergeCell ref="A4:J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opLeftCell="A8" workbookViewId="0">
      <selection activeCell="A29" sqref="A29:XFD29"/>
    </sheetView>
  </sheetViews>
  <sheetFormatPr defaultRowHeight="13.8"/>
  <cols>
    <col min="1" max="1" width="36.3984375" customWidth="1"/>
    <col min="2" max="2" width="21.8984375" customWidth="1"/>
    <col min="3" max="3" width="19.8984375" customWidth="1"/>
    <col min="4" max="4" width="24.8984375" customWidth="1"/>
    <col min="5" max="5" width="9.5" customWidth="1"/>
    <col min="6" max="6" width="9.69921875" customWidth="1"/>
    <col min="7" max="7" width="9.8984375" bestFit="1" customWidth="1"/>
    <col min="8" max="8" width="9.69921875" customWidth="1"/>
    <col min="9" max="9" width="9.8984375" bestFit="1" customWidth="1"/>
    <col min="10" max="10" width="9.5" customWidth="1"/>
    <col min="11" max="11" width="10.59765625" customWidth="1"/>
  </cols>
  <sheetData>
    <row r="1" spans="1:13" ht="17.399999999999999">
      <c r="A1" s="158" t="s">
        <v>145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13" ht="17.399999999999999">
      <c r="A2" s="158" t="s">
        <v>144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</row>
    <row r="3" spans="1:13" ht="17.399999999999999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3" ht="17.399999999999999">
      <c r="A4" s="158" t="s">
        <v>147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</row>
    <row r="6" spans="1:13" ht="14.4">
      <c r="A6" s="71" t="s">
        <v>116</v>
      </c>
      <c r="B6" s="76"/>
      <c r="C6" s="76"/>
    </row>
    <row r="7" spans="1:13" ht="14.4">
      <c r="A7" s="71"/>
      <c r="B7" s="81"/>
      <c r="C7" s="81"/>
    </row>
    <row r="8" spans="1:13" ht="14.4">
      <c r="A8" s="88" t="s">
        <v>71</v>
      </c>
      <c r="B8" s="89"/>
      <c r="C8" s="74"/>
    </row>
    <row r="9" spans="1:13" ht="14.4">
      <c r="A9" s="71"/>
      <c r="B9" s="71"/>
      <c r="C9" s="71"/>
    </row>
    <row r="10" spans="1:13" ht="14.4">
      <c r="A10" s="80" t="s">
        <v>126</v>
      </c>
      <c r="B10" s="71"/>
      <c r="C10" s="71"/>
    </row>
    <row r="11" spans="1:13" ht="14.4">
      <c r="A11" s="71"/>
      <c r="B11" s="71"/>
      <c r="C11" s="71"/>
      <c r="F11" s="160" t="s">
        <v>120</v>
      </c>
      <c r="G11" s="160"/>
      <c r="H11" s="160"/>
      <c r="I11" s="160"/>
      <c r="J11" s="160"/>
      <c r="K11" s="160"/>
      <c r="L11" s="160"/>
      <c r="M11" s="160"/>
    </row>
    <row r="12" spans="1:13" ht="14.4">
      <c r="A12" s="71"/>
      <c r="B12" s="81" t="s">
        <v>117</v>
      </c>
      <c r="C12" s="81" t="s">
        <v>118</v>
      </c>
      <c r="E12" s="44" t="s">
        <v>152</v>
      </c>
      <c r="F12" s="159">
        <v>2022</v>
      </c>
      <c r="G12" s="159"/>
      <c r="H12" s="159"/>
      <c r="I12" s="159"/>
      <c r="J12" s="159">
        <v>2023</v>
      </c>
      <c r="K12" s="159"/>
      <c r="L12" s="159"/>
      <c r="M12" s="159"/>
    </row>
    <row r="13" spans="1:13" ht="14.4">
      <c r="A13" s="72" t="s">
        <v>59</v>
      </c>
      <c r="B13" s="73">
        <v>43722</v>
      </c>
      <c r="C13" s="93">
        <f>B13+(31*18)</f>
        <v>44280</v>
      </c>
      <c r="D13" s="79" t="s">
        <v>119</v>
      </c>
      <c r="E13" s="97">
        <v>9</v>
      </c>
      <c r="F13" s="94" t="s">
        <v>47</v>
      </c>
      <c r="G13" s="95" t="s">
        <v>47</v>
      </c>
      <c r="H13" s="94" t="s">
        <v>134</v>
      </c>
      <c r="I13" s="94" t="s">
        <v>135</v>
      </c>
      <c r="J13" s="94" t="s">
        <v>134</v>
      </c>
      <c r="K13" s="94" t="s">
        <v>134</v>
      </c>
      <c r="L13" s="94" t="s">
        <v>134</v>
      </c>
      <c r="M13" s="94" t="s">
        <v>134</v>
      </c>
    </row>
    <row r="14" spans="1:13" ht="14.4">
      <c r="A14" s="75" t="s">
        <v>89</v>
      </c>
      <c r="B14" s="73">
        <v>44954</v>
      </c>
      <c r="C14" s="78">
        <f>B14+(31*18)</f>
        <v>45512</v>
      </c>
      <c r="D14" s="79"/>
      <c r="E14" s="97">
        <v>8</v>
      </c>
      <c r="F14" s="78" t="s">
        <v>47</v>
      </c>
      <c r="G14" s="78" t="s">
        <v>47</v>
      </c>
      <c r="H14" s="78" t="s">
        <v>47</v>
      </c>
      <c r="I14" s="93">
        <v>44954</v>
      </c>
      <c r="J14" s="94" t="s">
        <v>134</v>
      </c>
      <c r="K14" s="94" t="s">
        <v>134</v>
      </c>
      <c r="L14" s="94" t="s">
        <v>134</v>
      </c>
      <c r="M14" s="94" t="s">
        <v>134</v>
      </c>
    </row>
    <row r="15" spans="1:13" ht="14.4">
      <c r="A15" s="19" t="s">
        <v>96</v>
      </c>
      <c r="B15" s="73">
        <v>45059</v>
      </c>
      <c r="C15" s="78">
        <f>B15+(31*18)</f>
        <v>45617</v>
      </c>
      <c r="D15" s="118"/>
      <c r="E15" s="97">
        <v>7</v>
      </c>
      <c r="F15" s="78" t="s">
        <v>47</v>
      </c>
      <c r="G15" s="78" t="s">
        <v>47</v>
      </c>
      <c r="H15" s="78" t="s">
        <v>47</v>
      </c>
      <c r="I15" s="78" t="s">
        <v>47</v>
      </c>
      <c r="J15" s="78">
        <v>45059</v>
      </c>
      <c r="K15" s="94" t="s">
        <v>135</v>
      </c>
      <c r="L15" s="94" t="s">
        <v>134</v>
      </c>
      <c r="M15" s="94" t="s">
        <v>134</v>
      </c>
    </row>
    <row r="16" spans="1:13" ht="14.4">
      <c r="A16" s="75" t="s">
        <v>78</v>
      </c>
      <c r="B16" s="73">
        <v>44492</v>
      </c>
      <c r="C16" s="93">
        <f>B16+(31*18)</f>
        <v>45050</v>
      </c>
      <c r="D16" s="118"/>
      <c r="E16" s="97">
        <v>9</v>
      </c>
      <c r="F16" s="78" t="s">
        <v>135</v>
      </c>
      <c r="G16" s="92" t="s">
        <v>134</v>
      </c>
      <c r="H16" s="94" t="s">
        <v>134</v>
      </c>
      <c r="I16" s="94" t="s">
        <v>134</v>
      </c>
      <c r="J16" s="94" t="s">
        <v>134</v>
      </c>
      <c r="K16" s="94" t="s">
        <v>134</v>
      </c>
      <c r="L16" s="94" t="s">
        <v>134</v>
      </c>
      <c r="M16" s="94" t="s">
        <v>134</v>
      </c>
    </row>
    <row r="17" spans="1:13" ht="14.4">
      <c r="A17" s="47" t="s">
        <v>88</v>
      </c>
      <c r="B17" s="73">
        <v>45059</v>
      </c>
      <c r="C17" s="78">
        <f>B17+(31*18)</f>
        <v>45617</v>
      </c>
      <c r="D17" s="118"/>
      <c r="E17" s="97">
        <v>7</v>
      </c>
      <c r="F17" s="78" t="s">
        <v>47</v>
      </c>
      <c r="G17" s="78" t="s">
        <v>47</v>
      </c>
      <c r="H17" s="78" t="s">
        <v>47</v>
      </c>
      <c r="I17" s="78" t="s">
        <v>47</v>
      </c>
      <c r="J17" s="78">
        <v>45059</v>
      </c>
      <c r="K17" s="94" t="s">
        <v>134</v>
      </c>
      <c r="L17" s="94" t="s">
        <v>134</v>
      </c>
      <c r="M17" s="94" t="s">
        <v>134</v>
      </c>
    </row>
    <row r="19" spans="1:13" ht="14.4">
      <c r="A19" s="71"/>
      <c r="B19" s="71"/>
      <c r="C19" s="71"/>
    </row>
    <row r="20" spans="1:13" ht="14.4">
      <c r="A20" s="80" t="s">
        <v>115</v>
      </c>
      <c r="B20" s="80"/>
      <c r="C20" s="80"/>
      <c r="F20" s="82" t="s">
        <v>148</v>
      </c>
    </row>
    <row r="21" spans="1:13" ht="14.4">
      <c r="A21" s="71" t="s">
        <v>121</v>
      </c>
      <c r="B21" s="71"/>
      <c r="C21" s="71"/>
      <c r="F21" s="82" t="s">
        <v>149</v>
      </c>
    </row>
    <row r="22" spans="1:13" ht="14.4">
      <c r="A22" s="71" t="s">
        <v>122</v>
      </c>
      <c r="B22" s="71"/>
      <c r="C22" s="71"/>
    </row>
    <row r="23" spans="1:13" ht="14.4">
      <c r="A23" s="71" t="s">
        <v>123</v>
      </c>
      <c r="B23" s="71"/>
      <c r="C23" s="71"/>
    </row>
    <row r="24" spans="1:13" ht="14.4">
      <c r="A24" s="98" t="s">
        <v>128</v>
      </c>
      <c r="B24" s="71"/>
      <c r="C24" s="71"/>
    </row>
    <row r="25" spans="1:13" ht="14.4">
      <c r="A25" s="71" t="s">
        <v>124</v>
      </c>
    </row>
    <row r="26" spans="1:13" ht="14.4">
      <c r="A26" s="71" t="s">
        <v>125</v>
      </c>
    </row>
    <row r="27" spans="1:13" ht="14.4">
      <c r="A27" s="71" t="s">
        <v>137</v>
      </c>
    </row>
    <row r="28" spans="1:13" ht="14.4">
      <c r="A28" s="71" t="s">
        <v>138</v>
      </c>
    </row>
  </sheetData>
  <sortState ref="A13:M17">
    <sortCondition ref="A13:A17"/>
  </sortState>
  <mergeCells count="6">
    <mergeCell ref="F12:I12"/>
    <mergeCell ref="A1:K1"/>
    <mergeCell ref="A2:K2"/>
    <mergeCell ref="A4:K4"/>
    <mergeCell ref="J12:M12"/>
    <mergeCell ref="F11:M11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opLeftCell="A4" workbookViewId="0">
      <selection activeCell="A28" sqref="A28:XFD28"/>
    </sheetView>
  </sheetViews>
  <sheetFormatPr defaultRowHeight="13.8"/>
  <cols>
    <col min="1" max="1" width="36.3984375" customWidth="1"/>
    <col min="2" max="2" width="21.8984375" customWidth="1"/>
    <col min="3" max="3" width="19.8984375" customWidth="1"/>
    <col min="4" max="4" width="24.8984375" customWidth="1"/>
    <col min="5" max="5" width="8.09765625" customWidth="1"/>
    <col min="6" max="6" width="9.8984375" bestFit="1" customWidth="1"/>
    <col min="7" max="7" width="9.5" customWidth="1"/>
    <col min="10" max="10" width="9.8984375" customWidth="1"/>
  </cols>
  <sheetData>
    <row r="1" spans="1:11" ht="17.399999999999999">
      <c r="A1" s="158" t="s">
        <v>145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11" ht="17.399999999999999">
      <c r="A2" s="158" t="s">
        <v>144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</row>
    <row r="3" spans="1:11" ht="17.399999999999999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17.399999999999999">
      <c r="A4" s="158" t="s">
        <v>146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</row>
    <row r="6" spans="1:11" ht="14.4">
      <c r="A6" s="71" t="s">
        <v>116</v>
      </c>
      <c r="B6" s="76"/>
      <c r="C6" s="76"/>
    </row>
    <row r="7" spans="1:11" ht="14.4">
      <c r="A7" s="71"/>
      <c r="B7" s="81"/>
      <c r="C7" s="81"/>
    </row>
    <row r="8" spans="1:11" ht="14.4">
      <c r="A8" s="45" t="s">
        <v>26</v>
      </c>
      <c r="B8" s="68"/>
      <c r="C8" s="64"/>
    </row>
    <row r="9" spans="1:11" ht="14.4">
      <c r="A9" s="71"/>
      <c r="B9" s="71"/>
      <c r="C9" s="71"/>
    </row>
    <row r="10" spans="1:11" ht="14.4">
      <c r="A10" s="80" t="s">
        <v>126</v>
      </c>
      <c r="B10" s="71"/>
      <c r="C10" s="71"/>
    </row>
    <row r="11" spans="1:11" ht="14.4">
      <c r="A11" s="71"/>
      <c r="B11" s="71"/>
      <c r="C11" s="71"/>
      <c r="F11" s="161" t="s">
        <v>120</v>
      </c>
      <c r="G11" s="162"/>
      <c r="H11" s="162"/>
      <c r="I11" s="162"/>
      <c r="J11" s="162"/>
      <c r="K11" s="163"/>
    </row>
    <row r="12" spans="1:11" ht="14.4">
      <c r="A12" s="71"/>
      <c r="B12" s="81" t="s">
        <v>127</v>
      </c>
      <c r="C12" s="81" t="s">
        <v>118</v>
      </c>
      <c r="E12" t="s">
        <v>152</v>
      </c>
      <c r="F12" s="8">
        <v>1</v>
      </c>
      <c r="G12" s="8">
        <v>2</v>
      </c>
      <c r="H12" s="8">
        <v>3</v>
      </c>
      <c r="I12" s="8">
        <v>4</v>
      </c>
      <c r="J12" s="87" t="s">
        <v>132</v>
      </c>
      <c r="K12" s="87" t="s">
        <v>133</v>
      </c>
    </row>
    <row r="13" spans="1:11" ht="14.4">
      <c r="A13" s="6"/>
      <c r="B13" s="40"/>
      <c r="C13" s="78"/>
      <c r="D13" s="79"/>
      <c r="E13" s="97"/>
      <c r="F13" s="94"/>
      <c r="G13" s="78"/>
      <c r="H13" s="78"/>
      <c r="I13" s="78"/>
      <c r="J13" s="78"/>
      <c r="K13" s="78"/>
    </row>
    <row r="14" spans="1:11" ht="14.4">
      <c r="A14" s="6"/>
      <c r="B14" s="40"/>
      <c r="C14" s="78"/>
      <c r="D14" s="79"/>
      <c r="E14" s="97"/>
      <c r="F14" s="78"/>
      <c r="G14" s="78"/>
      <c r="H14" s="78"/>
      <c r="I14" s="78"/>
      <c r="J14" s="78"/>
      <c r="K14" s="78"/>
    </row>
    <row r="15" spans="1:11" ht="14.4">
      <c r="A15" s="6"/>
      <c r="B15" s="40"/>
      <c r="C15" s="78"/>
      <c r="D15" s="79"/>
      <c r="E15" s="97"/>
      <c r="F15" s="78"/>
      <c r="G15" s="78"/>
      <c r="H15" s="78"/>
      <c r="I15" s="78"/>
      <c r="J15" s="78"/>
      <c r="K15" s="78"/>
    </row>
    <row r="16" spans="1:11" ht="14.4">
      <c r="A16" s="6"/>
      <c r="B16" s="40"/>
      <c r="C16" s="78"/>
      <c r="D16" s="79"/>
      <c r="E16" s="97"/>
      <c r="F16" s="78"/>
      <c r="G16" s="94"/>
      <c r="H16" s="78"/>
      <c r="I16" s="78"/>
      <c r="J16" s="78"/>
      <c r="K16" s="78"/>
    </row>
    <row r="18" spans="1:6" ht="14.4">
      <c r="A18" s="80" t="s">
        <v>115</v>
      </c>
      <c r="B18" s="80"/>
      <c r="C18" s="80"/>
      <c r="F18" s="82" t="s">
        <v>148</v>
      </c>
    </row>
    <row r="19" spans="1:6" ht="14.4">
      <c r="A19" s="71" t="s">
        <v>121</v>
      </c>
      <c r="B19" s="71"/>
      <c r="C19" s="71"/>
      <c r="F19" s="82" t="s">
        <v>149</v>
      </c>
    </row>
    <row r="20" spans="1:6" ht="14.4">
      <c r="A20" s="71" t="s">
        <v>122</v>
      </c>
      <c r="B20" s="71"/>
      <c r="C20" s="71"/>
    </row>
    <row r="21" spans="1:6" ht="14.4">
      <c r="A21" s="71" t="s">
        <v>123</v>
      </c>
      <c r="B21" s="71"/>
      <c r="C21" s="71"/>
    </row>
    <row r="22" spans="1:6" ht="14.4">
      <c r="A22" s="119" t="s">
        <v>128</v>
      </c>
      <c r="B22" s="71"/>
      <c r="C22" s="71"/>
    </row>
    <row r="23" spans="1:6" ht="14.4">
      <c r="A23" s="98" t="s">
        <v>153</v>
      </c>
      <c r="B23" s="71"/>
      <c r="C23" s="71"/>
    </row>
    <row r="24" spans="1:6" ht="14.4">
      <c r="A24" s="71" t="s">
        <v>129</v>
      </c>
      <c r="B24" s="71"/>
      <c r="C24" s="71"/>
    </row>
    <row r="25" spans="1:6" ht="14.4">
      <c r="A25" s="71" t="s">
        <v>130</v>
      </c>
    </row>
    <row r="26" spans="1:6" ht="14.4">
      <c r="A26" s="71" t="s">
        <v>131</v>
      </c>
    </row>
    <row r="27" spans="1:6" ht="14.4">
      <c r="A27" s="71" t="s">
        <v>136</v>
      </c>
    </row>
  </sheetData>
  <sortState ref="A13:C15">
    <sortCondition ref="C13:C15"/>
  </sortState>
  <mergeCells count="4">
    <mergeCell ref="F11:K11"/>
    <mergeCell ref="A1:K1"/>
    <mergeCell ref="A2:K2"/>
    <mergeCell ref="A4:K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 Geral</vt:lpstr>
      <vt:lpstr>Recepção MESA</vt:lpstr>
      <vt:lpstr>Mudança de Grau - EN</vt:lpstr>
      <vt:lpstr>Mudança de Grau - CBCS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WAGNER</dc:creator>
  <cp:lastModifiedBy>Mosan Santos</cp:lastModifiedBy>
  <cp:revision>1</cp:revision>
  <cp:lastPrinted>2023-06-10T23:05:12Z</cp:lastPrinted>
  <dcterms:created xsi:type="dcterms:W3CDTF">2016-12-21T17:21:32Z</dcterms:created>
  <dcterms:modified xsi:type="dcterms:W3CDTF">2025-12-24T12:50:11Z</dcterms:modified>
</cp:coreProperties>
</file>