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an\Documents\Sistemas\EsferaMesa\app\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D15" i="1"/>
  <c r="D14" i="1"/>
  <c r="E14" i="1" s="1"/>
  <c r="D11" i="1"/>
  <c r="E11" i="1" s="1"/>
  <c r="D7" i="1"/>
  <c r="E7" i="1" s="1"/>
  <c r="D6" i="1"/>
  <c r="E6" i="1" s="1"/>
  <c r="D5" i="1"/>
  <c r="E5" i="1" s="1"/>
  <c r="E2" i="1"/>
  <c r="D2" i="1"/>
</calcChain>
</file>

<file path=xl/sharedStrings.xml><?xml version="1.0" encoding="utf-8"?>
<sst xmlns="http://schemas.openxmlformats.org/spreadsheetml/2006/main" count="139" uniqueCount="103">
  <si>
    <t>CBCS</t>
  </si>
  <si>
    <t>MESA</t>
  </si>
  <si>
    <t>Armando Carlos Menezes Rocha</t>
  </si>
  <si>
    <t>CARLOS ALBERTO MARQUES RIBEIRO FILHO</t>
  </si>
  <si>
    <t>Eduardo Pereira Viana</t>
  </si>
  <si>
    <t>Felipe Eduardo Portela de Paulo</t>
  </si>
  <si>
    <t>Filipi Cunha da Silva</t>
  </si>
  <si>
    <t>Gabriel Nogueira Coutinho</t>
  </si>
  <si>
    <t>Guilherme Braga Abreu Pires Neto</t>
  </si>
  <si>
    <t>Gustavo Felipe Carvalho Lima</t>
  </si>
  <si>
    <t>Marcus Vinicius Pereira da Silva</t>
  </si>
  <si>
    <t>Pedro Renato Rodrigues de Freitas</t>
  </si>
  <si>
    <t>Rogério Bittencourt de Miranda</t>
  </si>
  <si>
    <t>Rubens Caldeira Monteiro</t>
  </si>
  <si>
    <t>Wilson Correa de Souza Neto</t>
  </si>
  <si>
    <t>Vinicius Rezende Marinho</t>
  </si>
  <si>
    <t>037.351.027-60</t>
  </si>
  <si>
    <t>Av das Americas 20007 Bl2 304</t>
  </si>
  <si>
    <t>Rio de Janeiro</t>
  </si>
  <si>
    <t>22790-851</t>
  </si>
  <si>
    <t>RJ</t>
  </si>
  <si>
    <t>(21) 97020-7052</t>
  </si>
  <si>
    <t>armando@crtechn.com.br</t>
  </si>
  <si>
    <t>230.277.462-00</t>
  </si>
  <si>
    <t>RUA PROJETADA  3839, CASA 33</t>
  </si>
  <si>
    <t>Porto Velho</t>
  </si>
  <si>
    <t>76.822-608</t>
  </si>
  <si>
    <t>RO</t>
  </si>
  <si>
    <t>(69) 99981-3333</t>
  </si>
  <si>
    <t>marques_ribeiro@hotmail.com</t>
  </si>
  <si>
    <t>867.920.917-15</t>
  </si>
  <si>
    <t>Cesar Morani 17, 50/01</t>
  </si>
  <si>
    <t>22790-705</t>
  </si>
  <si>
    <t>(21) 99778-1222</t>
  </si>
  <si>
    <t>eduvianabsbpapa@gmail.com</t>
  </si>
  <si>
    <t>053.873.327-60</t>
  </si>
  <si>
    <t>Rua Evaristo da Veiga 35 SL 418, Centro</t>
  </si>
  <si>
    <t xml:space="preserve"> 20031-925</t>
  </si>
  <si>
    <t>(21) 98144-7776</t>
  </si>
  <si>
    <t>felipe@depaulo.com.br</t>
  </si>
  <si>
    <t>057.672.427-04</t>
  </si>
  <si>
    <t>Rua Ator Paulo Gustavo 434</t>
  </si>
  <si>
    <t>Niteroi</t>
  </si>
  <si>
    <t>24230-065</t>
  </si>
  <si>
    <t>(21) 99613-1311</t>
  </si>
  <si>
    <t>filipics@gmail.com</t>
  </si>
  <si>
    <t>167.055.207-10</t>
  </si>
  <si>
    <t>Rua Teresópolis 648</t>
  </si>
  <si>
    <t>Rio das Ostras</t>
  </si>
  <si>
    <t>28896-022</t>
  </si>
  <si>
    <t>(22) 99818-4603</t>
  </si>
  <si>
    <t>gabrriel.coutinho@gmail.com</t>
  </si>
  <si>
    <t>923.088.997-00</t>
  </si>
  <si>
    <t>Rua Tonelero 44 apto 401</t>
  </si>
  <si>
    <t>22030-001</t>
  </si>
  <si>
    <t>(21) 99234-9186</t>
  </si>
  <si>
    <t>guilhermeneto@cccrj.com.Br</t>
  </si>
  <si>
    <t>072.885.237-30</t>
  </si>
  <si>
    <t>Fernão Cardim 161</t>
  </si>
  <si>
    <t>20771-020</t>
  </si>
  <si>
    <t>(21) 96449-1548</t>
  </si>
  <si>
    <t>gustavobode33@gmail.com</t>
  </si>
  <si>
    <t>13/05/2023</t>
  </si>
  <si>
    <t>112.224.297-21</t>
  </si>
  <si>
    <t>Rua Leopoldina 91, Apt 403</t>
  </si>
  <si>
    <t>20756-110</t>
  </si>
  <si>
    <t>(21)96614-0500</t>
  </si>
  <si>
    <t>adm.mavs@gmail.com</t>
  </si>
  <si>
    <t>143.169.697-81</t>
  </si>
  <si>
    <t>Rua Alice Figueiredo 82 casa B , bairro do Riachuelo.</t>
  </si>
  <si>
    <t>20950-150</t>
  </si>
  <si>
    <t>(21) 98364-5296</t>
  </si>
  <si>
    <t>pedrorenato.rodriguesdefreitas@gmail.com</t>
  </si>
  <si>
    <t>025.849.107-80</t>
  </si>
  <si>
    <t>Rua Torres Homem, 710/308</t>
  </si>
  <si>
    <t>20551-075</t>
  </si>
  <si>
    <t>(21) 98822-9242</t>
  </si>
  <si>
    <t>rogbitt@gmail.com</t>
  </si>
  <si>
    <t>196.938.598-71</t>
  </si>
  <si>
    <t>Sabóia Lima 35 apt 204</t>
  </si>
  <si>
    <t>20521-250</t>
  </si>
  <si>
    <t>(21) 98183-2626</t>
  </si>
  <si>
    <t>aprendiz.pitagorico@yahoo.com.br</t>
  </si>
  <si>
    <t>256.727.387-53</t>
  </si>
  <si>
    <t>Av. Oswaldo Cruz, 108 - Apto. 901</t>
  </si>
  <si>
    <t>22250-060</t>
  </si>
  <si>
    <t>(21) 99998-9720</t>
  </si>
  <si>
    <t>wsouzanet@gmail.com</t>
  </si>
  <si>
    <t>071.030.667-95</t>
  </si>
  <si>
    <t>Rua Augusto Vasconcelos 568, apt 301, BL1</t>
  </si>
  <si>
    <t>23050-340</t>
  </si>
  <si>
    <t>(21)98344-1560</t>
  </si>
  <si>
    <t>Vinicius76marinho@yahoo.com.br</t>
  </si>
  <si>
    <t>CPF</t>
  </si>
  <si>
    <t>Endereço</t>
  </si>
  <si>
    <t>Cidade</t>
  </si>
  <si>
    <t>CEP</t>
  </si>
  <si>
    <t>Estado</t>
  </si>
  <si>
    <t>Nome</t>
  </si>
  <si>
    <t>Classe</t>
  </si>
  <si>
    <t>EM</t>
  </si>
  <si>
    <t xml:space="preserve">telefone 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</si>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</sst>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4"/>
      <name val="Calibri"/>
      <family val="2"/>
    </font>
    <font>
      <b/>
      <sz val="10"/>
      <color theme="9" tint="-0.249977111117893"/>
      <name val="Calibri"/>
      <family val="2"/>
    </font>
    <font>
      <sz val="10"/>
      <color theme="9" tint="-0.249977111117893"/>
      <name val="Calibri"/>
      <family val="2"/>
    </font>
    <font>
      <sz val="10"/>
      <color theme="4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</font>
    <font>
      <b/>
      <sz val="10"/>
      <color theme="1"/>
      <name val="Calibri"/>
      <family val="2"/>
    </font>
    <font>
      <u/>
      <sz val="10"/>
      <color theme="10"/>
      <name val="Calibri"/>
      <family val="2"/>
    </font>
    <font>
      <sz val="8"/>
      <color theme="1"/>
      <name val="Calibri"/>
      <family val="2"/>
    </font>
    <font>
      <sz val="11"/>
      <color theme="1"/>
      <name val="Liberation Sans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4" fontId="7" fillId="2" borderId="1" xfId="1" applyNumberFormat="1" applyFont="1" applyFill="1" applyBorder="1" applyAlignment="1">
      <alignment horizontal="center" vertical="center"/>
    </xf>
    <xf numFmtId="14" fontId="8" fillId="3" borderId="1" xfId="1" applyNumberFormat="1" applyFont="1" applyFill="1" applyBorder="1" applyAlignment="1">
      <alignment horizontal="center" vertical="center"/>
    </xf>
    <xf numFmtId="14" fontId="8" fillId="4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10" fillId="0" borderId="1" xfId="3" applyFont="1" applyBorder="1" applyAlignment="1">
      <alignment vertical="center"/>
    </xf>
    <xf numFmtId="14" fontId="11" fillId="0" borderId="1" xfId="0" applyNumberFormat="1" applyFont="1" applyBorder="1" applyAlignment="1">
      <alignment horizont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left" vertical="center"/>
    </xf>
    <xf numFmtId="49" fontId="2" fillId="0" borderId="2" xfId="2" applyNumberFormat="1" applyFont="1" applyBorder="1" applyAlignment="1">
      <alignment horizontal="center" vertical="center"/>
    </xf>
    <xf numFmtId="49" fontId="2" fillId="0" borderId="3" xfId="2" applyNumberFormat="1" applyFont="1" applyBorder="1" applyAlignment="1">
      <alignment horizontal="center" vertical="center"/>
    </xf>
    <xf numFmtId="49" fontId="2" fillId="0" borderId="4" xfId="2" applyNumberFormat="1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left"/>
    </xf>
    <xf numFmtId="14" fontId="12" fillId="5" borderId="1" xfId="0" applyNumberFormat="1" applyFont="1" applyFill="1" applyBorder="1" applyAlignment="1">
      <alignment horizontal="center" vertical="center"/>
    </xf>
    <xf numFmtId="14" fontId="12" fillId="5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13" fillId="0" borderId="1" xfId="1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3" fillId="0" borderId="1" xfId="1" applyFont="1" applyBorder="1" applyAlignment="1">
      <alignment horizontal="center" vertical="center"/>
    </xf>
    <xf numFmtId="0" fontId="14" fillId="0" borderId="1" xfId="3" applyFont="1" applyBorder="1" applyAlignment="1">
      <alignment vertical="center"/>
    </xf>
    <xf numFmtId="49" fontId="15" fillId="0" borderId="1" xfId="1" applyNumberFormat="1" applyFont="1" applyBorder="1" applyAlignment="1">
      <alignment horizontal="center" vertical="center"/>
    </xf>
    <xf numFmtId="49" fontId="9" fillId="0" borderId="1" xfId="3" applyNumberFormat="1" applyBorder="1" applyAlignment="1">
      <alignment horizontal="left" vertical="center"/>
    </xf>
    <xf numFmtId="0" fontId="16" fillId="0" borderId="1" xfId="0" applyFont="1" applyBorder="1" applyAlignment="1">
      <alignment horizontal="center"/>
    </xf>
    <xf numFmtId="0" fontId="9" fillId="0" borderId="1" xfId="3" applyBorder="1" applyAlignment="1">
      <alignment vertical="center"/>
    </xf>
    <xf numFmtId="49" fontId="17" fillId="0" borderId="1" xfId="2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vertical="center"/>
    </xf>
  </cellXfs>
  <cellStyles count="4">
    <cellStyle name="Hiperlink" xfId="3" builtinId="8"/>
    <cellStyle name="Normal" xfId="0" builtinId="0"/>
    <cellStyle name="Normal 2" xfId="1"/>
    <cellStyle name="Normal 2 2" xfId="2"/>
  </cellStyles>
  <dxfs count="2"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brriel.coutinho@gmail.com" TargetMode="External"/><Relationship Id="rId13" Type="http://schemas.openxmlformats.org/officeDocument/2006/relationships/hyperlink" Target="mailto:rogbitt@gmail.com" TargetMode="External"/><Relationship Id="rId3" Type="http://schemas.openxmlformats.org/officeDocument/2006/relationships/hyperlink" Target="mailto:aprendiz.pitagorico@yahoo.com.br" TargetMode="External"/><Relationship Id="rId7" Type="http://schemas.openxmlformats.org/officeDocument/2006/relationships/hyperlink" Target="mailto:pedrorenato.rodriguesdefreitas@gmail.com" TargetMode="External"/><Relationship Id="rId12" Type="http://schemas.openxmlformats.org/officeDocument/2006/relationships/hyperlink" Target="mailto:Vinicius76marinho@yahoo.com.br" TargetMode="External"/><Relationship Id="rId2" Type="http://schemas.openxmlformats.org/officeDocument/2006/relationships/hyperlink" Target="mailto:felipe@depaulo.com.br" TargetMode="External"/><Relationship Id="rId1" Type="http://schemas.openxmlformats.org/officeDocument/2006/relationships/hyperlink" Target="mailto:wsouzanet@gmail.com" TargetMode="External"/><Relationship Id="rId6" Type="http://schemas.openxmlformats.org/officeDocument/2006/relationships/hyperlink" Target="mailto:filipics@gmail.com" TargetMode="External"/><Relationship Id="rId11" Type="http://schemas.openxmlformats.org/officeDocument/2006/relationships/hyperlink" Target="mailto:eduvianabsbpapa@gmail.com" TargetMode="External"/><Relationship Id="rId5" Type="http://schemas.openxmlformats.org/officeDocument/2006/relationships/hyperlink" Target="mailto:gustavobode33@gmail.com" TargetMode="External"/><Relationship Id="rId10" Type="http://schemas.openxmlformats.org/officeDocument/2006/relationships/hyperlink" Target="mailto:marques_ribeiro@hotmail.com" TargetMode="External"/><Relationship Id="rId4" Type="http://schemas.openxmlformats.org/officeDocument/2006/relationships/hyperlink" Target="mailto:armando@crtechn.com.br" TargetMode="External"/><Relationship Id="rId9" Type="http://schemas.openxmlformats.org/officeDocument/2006/relationships/hyperlink" Target="mailto:adm.mav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L1" sqref="L1"/>
    </sheetView>
  </sheetViews>
  <sheetFormatPr defaultRowHeight="14.4"/>
  <cols>
    <col min="1" max="2" width="29.77734375" customWidth="1"/>
    <col min="3" max="3" width="10.5546875" customWidth="1"/>
    <col min="4" max="4" width="12" customWidth="1"/>
    <col min="5" max="5" width="13.5546875" customWidth="1"/>
    <col min="6" max="6" width="13.33203125" customWidth="1"/>
  </cols>
  <sheetData>
    <row r="1" spans="1:12">
      <c r="A1" t="s">
        <v>98</v>
      </c>
      <c r="B1" t="s">
        <v>99</v>
      </c>
      <c r="C1" t="s">
        <v>1</v>
      </c>
      <c r="D1" t="s">
        <v>100</v>
      </c>
      <c r="E1" t="s">
        <v>0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101</v>
      </c>
      <c r="L1" t="s">
        <v>102</v>
      </c>
    </row>
    <row r="2" spans="1:12">
      <c r="A2" s="1" t="s">
        <v>2</v>
      </c>
      <c r="B2" s="2" t="s">
        <v>1</v>
      </c>
      <c r="C2" s="10">
        <v>43722</v>
      </c>
      <c r="D2" s="11">
        <f ca="1">TODAY()</f>
        <v>46012</v>
      </c>
      <c r="E2" s="12">
        <f ca="1">TODAY()</f>
        <v>46012</v>
      </c>
      <c r="F2" s="2" t="s">
        <v>16</v>
      </c>
      <c r="G2" s="13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14" t="s">
        <v>22</v>
      </c>
    </row>
    <row r="3" spans="1:12">
      <c r="A3" s="3" t="s">
        <v>3</v>
      </c>
      <c r="B3" s="4" t="s">
        <v>0</v>
      </c>
      <c r="C3" s="15">
        <v>41923</v>
      </c>
      <c r="D3" s="15">
        <v>41923</v>
      </c>
      <c r="E3" s="15">
        <v>41924</v>
      </c>
      <c r="F3" s="16" t="s">
        <v>23</v>
      </c>
      <c r="G3" s="17" t="s">
        <v>24</v>
      </c>
      <c r="H3" s="16" t="s">
        <v>25</v>
      </c>
      <c r="I3" s="18" t="s">
        <v>26</v>
      </c>
      <c r="J3" s="16" t="s">
        <v>27</v>
      </c>
      <c r="K3" s="19" t="s">
        <v>28</v>
      </c>
      <c r="L3" s="20" t="s">
        <v>29</v>
      </c>
    </row>
    <row r="4" spans="1:12">
      <c r="A4" s="3" t="s">
        <v>4</v>
      </c>
      <c r="B4" s="5" t="s">
        <v>1</v>
      </c>
      <c r="C4" s="15">
        <v>43666</v>
      </c>
      <c r="D4" s="15"/>
      <c r="E4" s="15"/>
      <c r="F4" s="15" t="s">
        <v>30</v>
      </c>
      <c r="G4" s="21" t="s">
        <v>31</v>
      </c>
      <c r="H4" s="15" t="s">
        <v>18</v>
      </c>
      <c r="I4" s="15" t="s">
        <v>32</v>
      </c>
      <c r="J4" s="15" t="s">
        <v>20</v>
      </c>
      <c r="K4" s="15" t="s">
        <v>33</v>
      </c>
      <c r="L4" s="21" t="s">
        <v>34</v>
      </c>
    </row>
    <row r="5" spans="1:12">
      <c r="A5" s="1" t="s">
        <v>5</v>
      </c>
      <c r="B5" s="6" t="s">
        <v>0</v>
      </c>
      <c r="C5" s="22">
        <v>41118</v>
      </c>
      <c r="D5" s="23">
        <f>EDATE(C5,18)</f>
        <v>41667</v>
      </c>
      <c r="E5" s="23">
        <f>EDATE(D5,12)</f>
        <v>42032</v>
      </c>
      <c r="F5" s="24" t="s">
        <v>35</v>
      </c>
      <c r="G5" s="25" t="s">
        <v>36</v>
      </c>
      <c r="H5" s="2" t="s">
        <v>18</v>
      </c>
      <c r="I5" s="2" t="s">
        <v>37</v>
      </c>
      <c r="J5" s="26" t="s">
        <v>20</v>
      </c>
      <c r="K5" s="27" t="s">
        <v>38</v>
      </c>
      <c r="L5" s="28" t="s">
        <v>39</v>
      </c>
    </row>
    <row r="6" spans="1:12">
      <c r="A6" s="3" t="s">
        <v>6</v>
      </c>
      <c r="B6" s="5" t="s">
        <v>1</v>
      </c>
      <c r="C6" s="10">
        <v>44492</v>
      </c>
      <c r="D6" s="10">
        <f>C6+(31*18)</f>
        <v>45050</v>
      </c>
      <c r="E6" s="10">
        <f>D6+366</f>
        <v>45416</v>
      </c>
      <c r="F6" s="24" t="s">
        <v>40</v>
      </c>
      <c r="G6" s="3" t="s">
        <v>41</v>
      </c>
      <c r="H6" s="24" t="s">
        <v>42</v>
      </c>
      <c r="I6" s="24" t="s">
        <v>43</v>
      </c>
      <c r="J6" s="24" t="s">
        <v>20</v>
      </c>
      <c r="K6" s="24" t="s">
        <v>44</v>
      </c>
      <c r="L6" s="3" t="s">
        <v>45</v>
      </c>
    </row>
    <row r="7" spans="1:12">
      <c r="A7" s="3" t="s">
        <v>7</v>
      </c>
      <c r="B7" s="7" t="s">
        <v>1</v>
      </c>
      <c r="C7" s="10">
        <v>44953</v>
      </c>
      <c r="D7" s="10">
        <f>C7+(31*18)</f>
        <v>45511</v>
      </c>
      <c r="E7" s="10">
        <f>D7+366</f>
        <v>45877</v>
      </c>
      <c r="F7" s="16" t="s">
        <v>46</v>
      </c>
      <c r="G7" s="3" t="s">
        <v>47</v>
      </c>
      <c r="H7" s="29" t="s">
        <v>48</v>
      </c>
      <c r="I7" s="24" t="s">
        <v>49</v>
      </c>
      <c r="J7" s="26" t="s">
        <v>20</v>
      </c>
      <c r="K7" s="24" t="s">
        <v>50</v>
      </c>
      <c r="L7" s="30" t="s">
        <v>51</v>
      </c>
    </row>
    <row r="8" spans="1:12">
      <c r="A8" s="3" t="s">
        <v>8</v>
      </c>
      <c r="B8" s="5" t="s">
        <v>1</v>
      </c>
      <c r="C8" s="15">
        <v>41116</v>
      </c>
      <c r="D8" s="31"/>
      <c r="E8" s="31"/>
      <c r="F8" s="16" t="s">
        <v>52</v>
      </c>
      <c r="G8" s="21" t="s">
        <v>53</v>
      </c>
      <c r="H8" s="15" t="s">
        <v>18</v>
      </c>
      <c r="I8" s="15" t="s">
        <v>54</v>
      </c>
      <c r="J8" s="15" t="s">
        <v>20</v>
      </c>
      <c r="K8" s="15" t="s">
        <v>55</v>
      </c>
      <c r="L8" s="21" t="s">
        <v>56</v>
      </c>
    </row>
    <row r="9" spans="1:12">
      <c r="A9" s="1" t="s">
        <v>9</v>
      </c>
      <c r="B9" s="6" t="s">
        <v>0</v>
      </c>
      <c r="C9" s="23">
        <v>43331</v>
      </c>
      <c r="D9" s="23">
        <v>43919</v>
      </c>
      <c r="E9" s="23">
        <v>44799</v>
      </c>
      <c r="F9" s="2" t="s">
        <v>57</v>
      </c>
      <c r="G9" s="13" t="s">
        <v>58</v>
      </c>
      <c r="H9" s="2" t="s">
        <v>18</v>
      </c>
      <c r="I9" s="2" t="s">
        <v>59</v>
      </c>
      <c r="J9" s="26" t="s">
        <v>20</v>
      </c>
      <c r="K9" s="2" t="s">
        <v>60</v>
      </c>
      <c r="L9" s="32" t="s">
        <v>61</v>
      </c>
    </row>
    <row r="10" spans="1:12">
      <c r="A10" s="3" t="s">
        <v>10</v>
      </c>
      <c r="B10" s="8" t="s">
        <v>1</v>
      </c>
      <c r="C10" s="33" t="s">
        <v>62</v>
      </c>
      <c r="D10" s="31"/>
      <c r="E10" s="31"/>
      <c r="F10" s="16" t="s">
        <v>63</v>
      </c>
      <c r="G10" s="3" t="s">
        <v>64</v>
      </c>
      <c r="H10" s="29" t="s">
        <v>18</v>
      </c>
      <c r="I10" s="24" t="s">
        <v>65</v>
      </c>
      <c r="J10" s="26" t="s">
        <v>20</v>
      </c>
      <c r="K10" s="24" t="s">
        <v>66</v>
      </c>
      <c r="L10" s="30" t="s">
        <v>67</v>
      </c>
    </row>
    <row r="11" spans="1:12">
      <c r="A11" s="3" t="s">
        <v>11</v>
      </c>
      <c r="B11" s="5" t="s">
        <v>1</v>
      </c>
      <c r="C11" s="10">
        <v>44492</v>
      </c>
      <c r="D11" s="10">
        <f>C11+(31*18)</f>
        <v>45050</v>
      </c>
      <c r="E11" s="10">
        <f>D11+366</f>
        <v>45416</v>
      </c>
      <c r="F11" s="24" t="s">
        <v>68</v>
      </c>
      <c r="G11" s="3" t="s">
        <v>69</v>
      </c>
      <c r="H11" s="24" t="s">
        <v>18</v>
      </c>
      <c r="I11" s="24" t="s">
        <v>70</v>
      </c>
      <c r="J11" s="24" t="s">
        <v>20</v>
      </c>
      <c r="K11" s="24" t="s">
        <v>71</v>
      </c>
      <c r="L11" s="3" t="s">
        <v>72</v>
      </c>
    </row>
    <row r="12" spans="1:12">
      <c r="A12" s="1" t="s">
        <v>12</v>
      </c>
      <c r="B12" s="9" t="s">
        <v>0</v>
      </c>
      <c r="C12" s="23">
        <v>42936</v>
      </c>
      <c r="D12" s="23">
        <v>43798</v>
      </c>
      <c r="E12" s="23">
        <v>44799</v>
      </c>
      <c r="F12" s="2" t="s">
        <v>73</v>
      </c>
      <c r="G12" s="13" t="s">
        <v>74</v>
      </c>
      <c r="H12" s="2" t="s">
        <v>18</v>
      </c>
      <c r="I12" s="2" t="s">
        <v>75</v>
      </c>
      <c r="J12" s="26" t="s">
        <v>20</v>
      </c>
      <c r="K12" s="2" t="s">
        <v>76</v>
      </c>
      <c r="L12" s="28" t="s">
        <v>77</v>
      </c>
    </row>
    <row r="13" spans="1:12">
      <c r="A13" s="1" t="s">
        <v>13</v>
      </c>
      <c r="B13" s="6" t="s">
        <v>0</v>
      </c>
      <c r="C13" s="23">
        <v>43331</v>
      </c>
      <c r="D13" s="23">
        <v>43919</v>
      </c>
      <c r="E13" s="23">
        <v>44799</v>
      </c>
      <c r="F13" s="2" t="s">
        <v>78</v>
      </c>
      <c r="G13" s="13" t="s">
        <v>79</v>
      </c>
      <c r="H13" s="2" t="s">
        <v>18</v>
      </c>
      <c r="I13" s="2" t="s">
        <v>80</v>
      </c>
      <c r="J13" s="26" t="s">
        <v>20</v>
      </c>
      <c r="K13" s="2" t="s">
        <v>81</v>
      </c>
      <c r="L13" s="14" t="s">
        <v>82</v>
      </c>
    </row>
    <row r="14" spans="1:12">
      <c r="A14" s="1" t="s">
        <v>14</v>
      </c>
      <c r="B14" s="6" t="s">
        <v>0</v>
      </c>
      <c r="C14" s="23">
        <v>42133</v>
      </c>
      <c r="D14" s="23">
        <f>EDATE(C14,18)</f>
        <v>42683</v>
      </c>
      <c r="E14" s="23">
        <f>EDATE(D14,12)</f>
        <v>43048</v>
      </c>
      <c r="F14" s="24" t="s">
        <v>83</v>
      </c>
      <c r="G14" s="13" t="s">
        <v>84</v>
      </c>
      <c r="H14" s="2" t="s">
        <v>18</v>
      </c>
      <c r="I14" s="34" t="s">
        <v>85</v>
      </c>
      <c r="J14" s="26" t="s">
        <v>20</v>
      </c>
      <c r="K14" s="35" t="s">
        <v>86</v>
      </c>
      <c r="L14" s="36" t="s">
        <v>87</v>
      </c>
    </row>
    <row r="15" spans="1:12">
      <c r="A15" s="1" t="s">
        <v>15</v>
      </c>
      <c r="B15" s="5" t="s">
        <v>1</v>
      </c>
      <c r="C15" s="10"/>
      <c r="D15" s="12">
        <f t="shared" ref="D15:E15" ca="1" si="0">TODAY()</f>
        <v>46012</v>
      </c>
      <c r="E15" s="12">
        <f t="shared" ca="1" si="0"/>
        <v>46012</v>
      </c>
      <c r="F15" s="37" t="s">
        <v>88</v>
      </c>
      <c r="G15" s="38" t="s">
        <v>89</v>
      </c>
      <c r="H15" s="37" t="s">
        <v>18</v>
      </c>
      <c r="I15" s="37" t="s">
        <v>90</v>
      </c>
      <c r="J15" s="26" t="s">
        <v>20</v>
      </c>
      <c r="K15" s="37" t="s">
        <v>91</v>
      </c>
      <c r="L15" s="38" t="s">
        <v>92</v>
      </c>
    </row>
  </sheetData>
  <conditionalFormatting sqref="D10">
    <cfRule type="cellIs" dxfId="1" priority="2" operator="greaterThan">
      <formula>C10+558</formula>
    </cfRule>
  </conditionalFormatting>
  <conditionalFormatting sqref="D15">
    <cfRule type="cellIs" dxfId="0" priority="1" operator="greaterThan">
      <formula>C15+558</formula>
    </cfRule>
  </conditionalFormatting>
  <hyperlinks>
    <hyperlink ref="L14" r:id="rId1"/>
    <hyperlink ref="L5" r:id="rId2"/>
    <hyperlink ref="L13" r:id="rId3"/>
    <hyperlink ref="L2" r:id="rId4"/>
    <hyperlink ref="L9" r:id="rId5"/>
    <hyperlink ref="L6" r:id="rId6"/>
    <hyperlink ref="L11" r:id="rId7"/>
    <hyperlink ref="L7" r:id="rId8"/>
    <hyperlink ref="L10" r:id="rId9"/>
    <hyperlink ref="L3" r:id="rId10"/>
    <hyperlink ref="L4" r:id="rId11"/>
    <hyperlink ref="L15" r:id="rId12"/>
    <hyperlink ref="L12" r:id="rId13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Mosan Santos</dc:creator>
  <cp:lastModifiedBy>Mosan Santos</cp:lastModifiedBy>
  <dcterms:created xsi:type="dcterms:W3CDTF">2025-12-18T12:49:32Z</dcterms:created>
  <dcterms:modified xsi:type="dcterms:W3CDTF">2025-12-24T12:50:04Z</dcterms:modified>
</cp:coreProperties>
</file>